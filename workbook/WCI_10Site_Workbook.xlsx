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akinade\Desktop\Water-AI_Triad_Review\"/>
    </mc:Choice>
  </mc:AlternateContent>
  <xr:revisionPtr revIDLastSave="0" documentId="13_ncr:1_{5EAA7157-A0A3-4EA1-90DB-701EC4C91A4A}" xr6:coauthVersionLast="47" xr6:coauthVersionMax="47" xr10:uidLastSave="{00000000-0000-0000-0000-000000000000}"/>
  <bookViews>
    <workbookView xWindow="-120" yWindow="-120" windowWidth="29040" windowHeight="15720" tabRatio="500" firstSheet="3" activeTab="6" xr2:uid="{00000000-000D-0000-FFFF-FFFF00000000}"/>
  </bookViews>
  <sheets>
    <sheet name="0. Overview &amp; Methods" sheetId="1" r:id="rId1"/>
    <sheet name="1. Inputs" sheetId="2" r:id="rId2"/>
    <sheet name="2. WCI Decomposition" sheetId="3" r:id="rId3"/>
    <sheet name="3. Community Equivalence" sheetId="4" r:id="rId4"/>
    <sheet name="4. Growth Projections" sheetId="5" r:id="rId5"/>
    <sheet name="5. Ranked Summary" sheetId="6" r:id="rId6"/>
    <sheet name="6. Chart Data" sheetId="7" r:id="rId7"/>
    <sheet name="7. Policy Sensitivity"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7" i="8" l="1"/>
  <c r="C17" i="8"/>
  <c r="A17" i="8"/>
  <c r="Q15" i="8"/>
  <c r="D15" i="8"/>
  <c r="C15" i="8"/>
  <c r="B15" i="8"/>
  <c r="A15" i="8"/>
  <c r="D14" i="8"/>
  <c r="C14" i="8"/>
  <c r="C13" i="8"/>
  <c r="Q11" i="8"/>
  <c r="D11" i="8"/>
  <c r="C11" i="8"/>
  <c r="A11" i="8"/>
  <c r="Q10" i="8"/>
  <c r="Q9" i="8"/>
  <c r="Q7" i="8"/>
  <c r="A54" i="7"/>
  <c r="A50" i="7"/>
  <c r="A49" i="7"/>
  <c r="A46" i="7"/>
  <c r="D39" i="7"/>
  <c r="C39" i="7"/>
  <c r="A39" i="7"/>
  <c r="D37" i="7"/>
  <c r="C37" i="7"/>
  <c r="B37" i="7"/>
  <c r="A37" i="7"/>
  <c r="D36" i="7"/>
  <c r="C36" i="7"/>
  <c r="A36" i="7"/>
  <c r="D33" i="7"/>
  <c r="C33" i="7"/>
  <c r="A33" i="7"/>
  <c r="A28" i="7"/>
  <c r="A25" i="7"/>
  <c r="A20" i="7"/>
  <c r="A15" i="7"/>
  <c r="A13" i="7"/>
  <c r="A12" i="7"/>
  <c r="A7" i="7"/>
  <c r="H14" i="6"/>
  <c r="G14" i="6"/>
  <c r="F14" i="6"/>
  <c r="E14" i="6"/>
  <c r="D14" i="6"/>
  <c r="C14" i="6"/>
  <c r="B14" i="6"/>
  <c r="E13" i="6"/>
  <c r="D13" i="6"/>
  <c r="C13" i="6"/>
  <c r="B13" i="6"/>
  <c r="H12" i="6"/>
  <c r="G12" i="6"/>
  <c r="E12" i="6"/>
  <c r="D12" i="6"/>
  <c r="C12" i="6"/>
  <c r="B12" i="6"/>
  <c r="E11" i="6"/>
  <c r="D11" i="6"/>
  <c r="C11" i="6"/>
  <c r="B11" i="6"/>
  <c r="H10" i="6"/>
  <c r="G10" i="6"/>
  <c r="F10" i="6"/>
  <c r="E10" i="6"/>
  <c r="D10" i="6"/>
  <c r="C10" i="6"/>
  <c r="B10" i="6"/>
  <c r="H9" i="6"/>
  <c r="G9" i="6"/>
  <c r="F9" i="6"/>
  <c r="E9" i="6"/>
  <c r="D9" i="6"/>
  <c r="C9" i="6"/>
  <c r="B9" i="6"/>
  <c r="G8" i="6"/>
  <c r="E8" i="6"/>
  <c r="D8" i="6"/>
  <c r="C8" i="6"/>
  <c r="B8" i="6"/>
  <c r="E7" i="6"/>
  <c r="D7" i="6"/>
  <c r="C7" i="6"/>
  <c r="B7" i="6"/>
  <c r="G6" i="6"/>
  <c r="E6" i="6"/>
  <c r="D6" i="6"/>
  <c r="C6" i="6"/>
  <c r="B6" i="6"/>
  <c r="E5" i="6"/>
  <c r="D5" i="6"/>
  <c r="C5" i="6"/>
  <c r="B5" i="6"/>
  <c r="A30" i="5"/>
  <c r="A28" i="5"/>
  <c r="A27" i="5"/>
  <c r="A24" i="5"/>
  <c r="A19" i="5"/>
  <c r="A17" i="5"/>
  <c r="A15" i="5"/>
  <c r="A14" i="5"/>
  <c r="A13" i="5"/>
  <c r="A11" i="5"/>
  <c r="G14" i="4"/>
  <c r="E14" i="4"/>
  <c r="A14" i="4"/>
  <c r="G13" i="4"/>
  <c r="E13" i="4"/>
  <c r="A13" i="4"/>
  <c r="A27" i="7" s="1"/>
  <c r="E12" i="4"/>
  <c r="G12" i="4" s="1"/>
  <c r="A12" i="4"/>
  <c r="A26" i="7" s="1"/>
  <c r="G11" i="4"/>
  <c r="E11" i="4"/>
  <c r="B11" i="4"/>
  <c r="C11" i="4" s="1"/>
  <c r="D11" i="4" s="1"/>
  <c r="A11" i="4"/>
  <c r="E10" i="4"/>
  <c r="G10" i="4" s="1"/>
  <c r="A10" i="4"/>
  <c r="A24" i="7" s="1"/>
  <c r="G9" i="4"/>
  <c r="E9" i="4"/>
  <c r="A9" i="4"/>
  <c r="A23" i="7" s="1"/>
  <c r="G8" i="4"/>
  <c r="E8" i="4"/>
  <c r="A8" i="4"/>
  <c r="A22" i="7" s="1"/>
  <c r="G7" i="4"/>
  <c r="E7" i="4"/>
  <c r="A7" i="4"/>
  <c r="A21" i="7" s="1"/>
  <c r="E6" i="4"/>
  <c r="G6" i="4" s="1"/>
  <c r="A6" i="4"/>
  <c r="G5" i="4"/>
  <c r="E5" i="4"/>
  <c r="A5" i="4"/>
  <c r="A19" i="7" s="1"/>
  <c r="G14" i="3"/>
  <c r="C15" i="7" s="1"/>
  <c r="D14" i="3"/>
  <c r="D41" i="7" s="1"/>
  <c r="C14" i="3"/>
  <c r="C41" i="7" s="1"/>
  <c r="A14" i="3"/>
  <c r="D13" i="3"/>
  <c r="D18" i="8" s="1"/>
  <c r="C13" i="3"/>
  <c r="E13" i="3" s="1"/>
  <c r="A13" i="3"/>
  <c r="Q14" i="8" s="1"/>
  <c r="D12" i="3"/>
  <c r="C12" i="3"/>
  <c r="A12" i="3"/>
  <c r="A52" i="7" s="1"/>
  <c r="D11" i="3"/>
  <c r="C11" i="3"/>
  <c r="B11" i="3"/>
  <c r="E11" i="3" s="1"/>
  <c r="A11" i="3"/>
  <c r="J10" i="3"/>
  <c r="D10" i="3"/>
  <c r="C10" i="3"/>
  <c r="B10" i="3"/>
  <c r="G10" i="3" s="1"/>
  <c r="A10" i="3"/>
  <c r="A11" i="7" s="1"/>
  <c r="J9" i="3"/>
  <c r="G9" i="3"/>
  <c r="D9" i="3"/>
  <c r="C9" i="3"/>
  <c r="A9" i="3"/>
  <c r="A14" i="8" s="1"/>
  <c r="D8" i="3"/>
  <c r="C8" i="3"/>
  <c r="C35" i="7" s="1"/>
  <c r="A8" i="3"/>
  <c r="D7" i="3"/>
  <c r="C7" i="3"/>
  <c r="A7" i="3"/>
  <c r="D6" i="3"/>
  <c r="H6" i="6" s="1"/>
  <c r="C6" i="3"/>
  <c r="A6" i="3"/>
  <c r="D5" i="3"/>
  <c r="C5" i="3"/>
  <c r="G5" i="6" s="1"/>
  <c r="B5" i="3"/>
  <c r="B10" i="8" s="1"/>
  <c r="A5" i="3"/>
  <c r="A32" i="7" s="1"/>
  <c r="P14" i="2"/>
  <c r="J14" i="2"/>
  <c r="F14" i="2"/>
  <c r="B14" i="3" s="1"/>
  <c r="P13" i="2"/>
  <c r="J13" i="2"/>
  <c r="F13" i="2"/>
  <c r="B13" i="3" s="1"/>
  <c r="P12" i="2"/>
  <c r="J12" i="2"/>
  <c r="F12" i="2"/>
  <c r="B12" i="3" s="1"/>
  <c r="B17" i="8" s="1"/>
  <c r="P11" i="2"/>
  <c r="L11" i="2"/>
  <c r="J11" i="2"/>
  <c r="F11" i="2"/>
  <c r="H11" i="2" s="1"/>
  <c r="P10" i="2"/>
  <c r="J10" i="2"/>
  <c r="F10" i="2"/>
  <c r="H10" i="2" s="1"/>
  <c r="P9" i="2"/>
  <c r="J9" i="2"/>
  <c r="F9" i="2"/>
  <c r="B9" i="3" s="1"/>
  <c r="B36" i="7" s="1"/>
  <c r="P8" i="2"/>
  <c r="J8" i="2"/>
  <c r="F8" i="2"/>
  <c r="B8" i="3" s="1"/>
  <c r="B35" i="7" s="1"/>
  <c r="P7" i="2"/>
  <c r="J7" i="2"/>
  <c r="F7" i="2"/>
  <c r="B7" i="3" s="1"/>
  <c r="P6" i="2"/>
  <c r="J6" i="2"/>
  <c r="F6" i="2"/>
  <c r="P5" i="2"/>
  <c r="J5" i="2"/>
  <c r="F5" i="2"/>
  <c r="H5" i="2" s="1"/>
  <c r="L17" i="8" l="1"/>
  <c r="F17" i="8"/>
  <c r="I17" i="8"/>
  <c r="B29" i="5"/>
  <c r="E16" i="8"/>
  <c r="E38" i="7"/>
  <c r="I11" i="3"/>
  <c r="N11" i="6" s="1"/>
  <c r="J11" i="6"/>
  <c r="B16" i="5"/>
  <c r="B12" i="7"/>
  <c r="I11" i="6"/>
  <c r="F11" i="3"/>
  <c r="J13" i="6"/>
  <c r="I13" i="6"/>
  <c r="E40" i="7"/>
  <c r="I13" i="3"/>
  <c r="N13" i="6" s="1"/>
  <c r="B18" i="5"/>
  <c r="B31" i="5"/>
  <c r="F13" i="3"/>
  <c r="E18" i="8"/>
  <c r="B14" i="7"/>
  <c r="B5" i="4"/>
  <c r="L5" i="2"/>
  <c r="B12" i="8"/>
  <c r="B34" i="7"/>
  <c r="F7" i="6"/>
  <c r="J7" i="3"/>
  <c r="G7" i="3"/>
  <c r="E7" i="3"/>
  <c r="J5" i="3"/>
  <c r="A14" i="7"/>
  <c r="A45" i="7"/>
  <c r="A12" i="8"/>
  <c r="A34" i="7"/>
  <c r="A47" i="7"/>
  <c r="A8" i="7"/>
  <c r="A12" i="5"/>
  <c r="A25" i="5"/>
  <c r="H7" i="2"/>
  <c r="A16" i="8"/>
  <c r="A51" i="7"/>
  <c r="A29" i="5"/>
  <c r="A38" i="7"/>
  <c r="H8" i="2"/>
  <c r="J11" i="3"/>
  <c r="D16" i="8"/>
  <c r="D38" i="7"/>
  <c r="H11" i="6"/>
  <c r="F8" i="6"/>
  <c r="C10" i="8"/>
  <c r="F10" i="8" s="1"/>
  <c r="F11" i="6"/>
  <c r="B16" i="8"/>
  <c r="B38" i="7"/>
  <c r="D10" i="8"/>
  <c r="I10" i="8" s="1"/>
  <c r="G11" i="6"/>
  <c r="C16" i="8"/>
  <c r="C38" i="7"/>
  <c r="C12" i="8"/>
  <c r="C34" i="7"/>
  <c r="G11" i="3"/>
  <c r="F15" i="8"/>
  <c r="L15" i="8"/>
  <c r="I15" i="8"/>
  <c r="D12" i="8"/>
  <c r="D34" i="7"/>
  <c r="A10" i="5"/>
  <c r="H5" i="6"/>
  <c r="C11" i="7"/>
  <c r="H10" i="3"/>
  <c r="G5" i="3"/>
  <c r="F5" i="6"/>
  <c r="E5" i="3"/>
  <c r="J12" i="3"/>
  <c r="Q12" i="8"/>
  <c r="A18" i="5"/>
  <c r="A31" i="5"/>
  <c r="A18" i="8"/>
  <c r="A53" i="7"/>
  <c r="A40" i="7"/>
  <c r="E8" i="3"/>
  <c r="C18" i="8"/>
  <c r="H8" i="6"/>
  <c r="J8" i="3"/>
  <c r="H13" i="2"/>
  <c r="C25" i="7"/>
  <c r="L11" i="6"/>
  <c r="D35" i="7"/>
  <c r="B13" i="8"/>
  <c r="K10" i="6"/>
  <c r="B41" i="7"/>
  <c r="E14" i="3"/>
  <c r="B19" i="8"/>
  <c r="J14" i="3"/>
  <c r="G7" i="6"/>
  <c r="D13" i="8"/>
  <c r="H12" i="2"/>
  <c r="D32" i="7"/>
  <c r="G8" i="3"/>
  <c r="H14" i="3"/>
  <c r="C10" i="7"/>
  <c r="K9" i="6"/>
  <c r="H9" i="3"/>
  <c r="H14" i="2"/>
  <c r="H11" i="4"/>
  <c r="H7" i="6"/>
  <c r="K14" i="6"/>
  <c r="Q8" i="8"/>
  <c r="Q6" i="8"/>
  <c r="A6" i="7"/>
  <c r="A23" i="5"/>
  <c r="A10" i="8"/>
  <c r="G13" i="6"/>
  <c r="C40" i="7"/>
  <c r="B32" i="7"/>
  <c r="G12" i="3"/>
  <c r="E12" i="3"/>
  <c r="B39" i="7"/>
  <c r="F12" i="6"/>
  <c r="H13" i="6"/>
  <c r="D40" i="7"/>
  <c r="J13" i="3"/>
  <c r="C32" i="7"/>
  <c r="A16" i="5"/>
  <c r="B40" i="7"/>
  <c r="F13" i="6"/>
  <c r="G13" i="3"/>
  <c r="B18" i="8"/>
  <c r="B6" i="3"/>
  <c r="H6" i="2"/>
  <c r="I11" i="4"/>
  <c r="A35" i="7"/>
  <c r="A9" i="7"/>
  <c r="A13" i="8"/>
  <c r="B14" i="8"/>
  <c r="E9" i="3"/>
  <c r="H9" i="2"/>
  <c r="A32" i="5"/>
  <c r="A41" i="7"/>
  <c r="A19" i="8"/>
  <c r="A48" i="7"/>
  <c r="D19" i="8"/>
  <c r="B10" i="4"/>
  <c r="L10" i="2"/>
  <c r="E10" i="3"/>
  <c r="A26" i="5"/>
  <c r="C19" i="8"/>
  <c r="Q13" i="8"/>
  <c r="A10" i="7"/>
  <c r="L13" i="8" l="1"/>
  <c r="I13" i="8"/>
  <c r="F13" i="8"/>
  <c r="I5" i="4"/>
  <c r="H5" i="4"/>
  <c r="C5" i="4"/>
  <c r="D5" i="4" s="1"/>
  <c r="N31" i="5"/>
  <c r="M53" i="7" s="1"/>
  <c r="L31" i="5"/>
  <c r="K53" i="7" s="1"/>
  <c r="K31" i="5"/>
  <c r="J53" i="7" s="1"/>
  <c r="F31" i="5"/>
  <c r="E53" i="7" s="1"/>
  <c r="M31" i="5"/>
  <c r="L53" i="7" s="1"/>
  <c r="J31" i="5"/>
  <c r="I53" i="7" s="1"/>
  <c r="I31" i="5"/>
  <c r="H53" i="7" s="1"/>
  <c r="H31" i="5"/>
  <c r="G53" i="7" s="1"/>
  <c r="G31" i="5"/>
  <c r="F53" i="7" s="1"/>
  <c r="E31" i="5"/>
  <c r="D53" i="7" s="1"/>
  <c r="D31" i="5"/>
  <c r="C53" i="7" s="1"/>
  <c r="C31" i="5"/>
  <c r="N18" i="5"/>
  <c r="M18" i="5"/>
  <c r="D18" i="5"/>
  <c r="E18" i="5"/>
  <c r="F18" i="5"/>
  <c r="I18" i="5"/>
  <c r="C18" i="5"/>
  <c r="L18" i="5"/>
  <c r="K18" i="5"/>
  <c r="J18" i="5"/>
  <c r="H18" i="5"/>
  <c r="G18" i="5"/>
  <c r="E12" i="8"/>
  <c r="E34" i="7"/>
  <c r="B8" i="7"/>
  <c r="B12" i="5"/>
  <c r="I7" i="6"/>
  <c r="J7" i="6"/>
  <c r="B25" i="5"/>
  <c r="I7" i="3"/>
  <c r="N7" i="6" s="1"/>
  <c r="F7" i="3"/>
  <c r="C8" i="7"/>
  <c r="K7" i="6"/>
  <c r="H7" i="3"/>
  <c r="B13" i="5"/>
  <c r="B26" i="5"/>
  <c r="B9" i="7"/>
  <c r="J8" i="6"/>
  <c r="I8" i="3"/>
  <c r="N8" i="6" s="1"/>
  <c r="I8" i="6"/>
  <c r="E35" i="7"/>
  <c r="E13" i="8"/>
  <c r="F8" i="3"/>
  <c r="C12" i="7"/>
  <c r="K11" i="6"/>
  <c r="H11" i="3"/>
  <c r="F12" i="8"/>
  <c r="I12" i="8"/>
  <c r="L12" i="8"/>
  <c r="L10" i="8"/>
  <c r="H5" i="3"/>
  <c r="C6" i="7"/>
  <c r="K5" i="6"/>
  <c r="H12" i="3"/>
  <c r="K12" i="6"/>
  <c r="C13" i="7"/>
  <c r="L7" i="2"/>
  <c r="B7" i="4"/>
  <c r="I10" i="4"/>
  <c r="C10" i="4"/>
  <c r="D10" i="4" s="1"/>
  <c r="H10" i="4"/>
  <c r="L9" i="2"/>
  <c r="B9" i="4"/>
  <c r="K16" i="5"/>
  <c r="J16" i="5"/>
  <c r="F16" i="5"/>
  <c r="E16" i="5"/>
  <c r="D16" i="5"/>
  <c r="N16" i="5"/>
  <c r="C16" i="5"/>
  <c r="M16" i="5"/>
  <c r="L16" i="5"/>
  <c r="H16" i="5"/>
  <c r="I16" i="5"/>
  <c r="G16" i="5"/>
  <c r="B14" i="4"/>
  <c r="L14" i="2"/>
  <c r="E29" i="5"/>
  <c r="D51" i="7" s="1"/>
  <c r="D29" i="5"/>
  <c r="C51" i="7" s="1"/>
  <c r="C29" i="5"/>
  <c r="F29" i="5"/>
  <c r="E51" i="7" s="1"/>
  <c r="J29" i="5"/>
  <c r="I51" i="7" s="1"/>
  <c r="N29" i="5"/>
  <c r="M51" i="7" s="1"/>
  <c r="M29" i="5"/>
  <c r="L51" i="7" s="1"/>
  <c r="L29" i="5"/>
  <c r="K51" i="7" s="1"/>
  <c r="K29" i="5"/>
  <c r="J51" i="7" s="1"/>
  <c r="I29" i="5"/>
  <c r="H51" i="7" s="1"/>
  <c r="H29" i="5"/>
  <c r="G51" i="7" s="1"/>
  <c r="G29" i="5"/>
  <c r="F51" i="7" s="1"/>
  <c r="E41" i="7"/>
  <c r="B32" i="5"/>
  <c r="B19" i="5"/>
  <c r="E19" i="8"/>
  <c r="I14" i="6"/>
  <c r="B15" i="7"/>
  <c r="F14" i="3"/>
  <c r="I14" i="3"/>
  <c r="N14" i="6" s="1"/>
  <c r="J14" i="6"/>
  <c r="I16" i="8"/>
  <c r="J16" i="8" s="1"/>
  <c r="F16" i="8"/>
  <c r="G16" i="8" s="1"/>
  <c r="L16" i="8"/>
  <c r="M16" i="8" s="1"/>
  <c r="B28" i="5"/>
  <c r="B15" i="5"/>
  <c r="B11" i="7"/>
  <c r="F10" i="3"/>
  <c r="E15" i="8"/>
  <c r="I10" i="6"/>
  <c r="J10" i="6"/>
  <c r="E37" i="7"/>
  <c r="I10" i="3"/>
  <c r="N10" i="6" s="1"/>
  <c r="B25" i="7"/>
  <c r="M11" i="6"/>
  <c r="F19" i="8"/>
  <c r="L19" i="8"/>
  <c r="I19" i="8"/>
  <c r="E17" i="8"/>
  <c r="B17" i="5"/>
  <c r="F12" i="3"/>
  <c r="B30" i="5"/>
  <c r="E39" i="7"/>
  <c r="J12" i="6"/>
  <c r="I12" i="6"/>
  <c r="I12" i="3"/>
  <c r="N12" i="6" s="1"/>
  <c r="B13" i="7"/>
  <c r="F6" i="6"/>
  <c r="G6" i="3"/>
  <c r="E6" i="3"/>
  <c r="B11" i="8"/>
  <c r="J6" i="3"/>
  <c r="B33" i="7"/>
  <c r="B13" i="4"/>
  <c r="L13" i="2"/>
  <c r="L8" i="2"/>
  <c r="B8" i="4"/>
  <c r="E10" i="8"/>
  <c r="F5" i="3"/>
  <c r="I5" i="3"/>
  <c r="N5" i="6" s="1"/>
  <c r="B23" i="5"/>
  <c r="B6" i="7"/>
  <c r="E32" i="7"/>
  <c r="J5" i="6"/>
  <c r="I5" i="6"/>
  <c r="B10" i="5"/>
  <c r="B10" i="7"/>
  <c r="F9" i="3"/>
  <c r="E14" i="8"/>
  <c r="J9" i="6"/>
  <c r="I9" i="6"/>
  <c r="I9" i="3"/>
  <c r="N9" i="6" s="1"/>
  <c r="B14" i="5"/>
  <c r="E36" i="7"/>
  <c r="B27" i="5"/>
  <c r="F14" i="8"/>
  <c r="L14" i="8"/>
  <c r="I14" i="8"/>
  <c r="H8" i="3"/>
  <c r="C9" i="7"/>
  <c r="K8" i="6"/>
  <c r="B6" i="4"/>
  <c r="L6" i="2"/>
  <c r="B12" i="4"/>
  <c r="L12" i="2"/>
  <c r="L18" i="8"/>
  <c r="M18" i="8" s="1"/>
  <c r="F18" i="8"/>
  <c r="G18" i="8" s="1"/>
  <c r="I18" i="8"/>
  <c r="J18" i="8" s="1"/>
  <c r="K13" i="6"/>
  <c r="H13" i="3"/>
  <c r="C14" i="7"/>
  <c r="O16" i="8" l="1"/>
  <c r="O18" i="8"/>
  <c r="H12" i="8"/>
  <c r="R8" i="8" s="1"/>
  <c r="G12" i="8"/>
  <c r="N12" i="8"/>
  <c r="T8" i="8" s="1"/>
  <c r="M12" i="8"/>
  <c r="K12" i="8"/>
  <c r="S8" i="8" s="1"/>
  <c r="J12" i="8"/>
  <c r="C14" i="4"/>
  <c r="D14" i="4" s="1"/>
  <c r="I14" i="4"/>
  <c r="H14" i="4"/>
  <c r="I8" i="4"/>
  <c r="H8" i="4"/>
  <c r="C8" i="4"/>
  <c r="D8" i="4" s="1"/>
  <c r="N15" i="8"/>
  <c r="T11" i="8" s="1"/>
  <c r="M15" i="8"/>
  <c r="K15" i="8"/>
  <c r="S11" i="8" s="1"/>
  <c r="J15" i="8"/>
  <c r="H15" i="8"/>
  <c r="R11" i="8" s="1"/>
  <c r="G15" i="8"/>
  <c r="O15" i="8" s="1"/>
  <c r="N16" i="8"/>
  <c r="T12" i="8" s="1"/>
  <c r="H12" i="4"/>
  <c r="I12" i="4"/>
  <c r="C12" i="4"/>
  <c r="D12" i="4" s="1"/>
  <c r="J15" i="5"/>
  <c r="I15" i="5"/>
  <c r="H15" i="5"/>
  <c r="G15" i="5"/>
  <c r="F15" i="5"/>
  <c r="E15" i="5"/>
  <c r="D15" i="5"/>
  <c r="C15" i="5"/>
  <c r="O15" i="5" s="1" a="1"/>
  <c r="O15" i="5" s="1"/>
  <c r="N15" i="5"/>
  <c r="M15" i="5"/>
  <c r="L15" i="5"/>
  <c r="K15" i="5"/>
  <c r="H16" i="8"/>
  <c r="R12" i="8" s="1"/>
  <c r="I11" i="8"/>
  <c r="F11" i="8"/>
  <c r="L11" i="8"/>
  <c r="J28" i="5"/>
  <c r="I50" i="7" s="1"/>
  <c r="I28" i="5"/>
  <c r="H50" i="7" s="1"/>
  <c r="H28" i="5"/>
  <c r="G50" i="7" s="1"/>
  <c r="G28" i="5"/>
  <c r="F50" i="7" s="1"/>
  <c r="F28" i="5"/>
  <c r="E50" i="7" s="1"/>
  <c r="E28" i="5"/>
  <c r="D50" i="7" s="1"/>
  <c r="D28" i="5"/>
  <c r="C50" i="7" s="1"/>
  <c r="C28" i="5"/>
  <c r="M28" i="5"/>
  <c r="L50" i="7" s="1"/>
  <c r="N28" i="5"/>
  <c r="M50" i="7" s="1"/>
  <c r="L28" i="5"/>
  <c r="K50" i="7" s="1"/>
  <c r="K28" i="5"/>
  <c r="J50" i="7" s="1"/>
  <c r="O18" i="5" a="1"/>
  <c r="O18" i="5" s="1"/>
  <c r="H6" i="4"/>
  <c r="C6" i="4"/>
  <c r="D6" i="4" s="1"/>
  <c r="I6" i="4"/>
  <c r="E33" i="7"/>
  <c r="B7" i="7"/>
  <c r="J6" i="6"/>
  <c r="I6" i="6"/>
  <c r="B24" i="5"/>
  <c r="B11" i="5"/>
  <c r="I6" i="3"/>
  <c r="N6" i="6" s="1"/>
  <c r="F6" i="3"/>
  <c r="E11" i="8"/>
  <c r="B51" i="7"/>
  <c r="O29" i="5" a="1"/>
  <c r="O29" i="5" s="1"/>
  <c r="O11" i="6" s="1"/>
  <c r="O16" i="5" a="1"/>
  <c r="O16" i="5" s="1"/>
  <c r="N18" i="8"/>
  <c r="T14" i="8" s="1"/>
  <c r="J19" i="5"/>
  <c r="I19" i="5"/>
  <c r="H19" i="5"/>
  <c r="G19" i="5"/>
  <c r="F19" i="5"/>
  <c r="E19" i="5"/>
  <c r="D19" i="5"/>
  <c r="C19" i="5"/>
  <c r="M19" i="5"/>
  <c r="L19" i="5"/>
  <c r="N19" i="5"/>
  <c r="K19" i="5"/>
  <c r="K16" i="8"/>
  <c r="S12" i="8" s="1"/>
  <c r="K6" i="6"/>
  <c r="C7" i="7"/>
  <c r="H6" i="3"/>
  <c r="H18" i="8"/>
  <c r="R14" i="8" s="1"/>
  <c r="L5" i="6"/>
  <c r="C19" i="7"/>
  <c r="B53" i="7"/>
  <c r="O31" i="5" a="1"/>
  <c r="O31" i="5" s="1"/>
  <c r="O13" i="6" s="1"/>
  <c r="N14" i="5"/>
  <c r="M14" i="5"/>
  <c r="L14" i="5"/>
  <c r="K14" i="5"/>
  <c r="J14" i="5"/>
  <c r="I14" i="5"/>
  <c r="H14" i="5"/>
  <c r="G14" i="5"/>
  <c r="F14" i="5"/>
  <c r="E14" i="5"/>
  <c r="D14" i="5"/>
  <c r="C14" i="5"/>
  <c r="M5" i="6"/>
  <c r="B19" i="7"/>
  <c r="K18" i="8"/>
  <c r="S14" i="8" s="1"/>
  <c r="K14" i="8"/>
  <c r="S10" i="8" s="1"/>
  <c r="G14" i="8"/>
  <c r="N14" i="8"/>
  <c r="T10" i="8" s="1"/>
  <c r="M14" i="8"/>
  <c r="J14" i="8"/>
  <c r="H14" i="8"/>
  <c r="R10" i="8" s="1"/>
  <c r="N13" i="8"/>
  <c r="T9" i="8" s="1"/>
  <c r="M13" i="8"/>
  <c r="K13" i="8"/>
  <c r="S9" i="8" s="1"/>
  <c r="J13" i="8"/>
  <c r="H13" i="8"/>
  <c r="R9" i="8" s="1"/>
  <c r="G13" i="8"/>
  <c r="O13" i="8" s="1"/>
  <c r="J32" i="5"/>
  <c r="I54" i="7" s="1"/>
  <c r="I32" i="5"/>
  <c r="H54" i="7" s="1"/>
  <c r="H32" i="5"/>
  <c r="G54" i="7" s="1"/>
  <c r="G32" i="5"/>
  <c r="F54" i="7" s="1"/>
  <c r="F32" i="5"/>
  <c r="E54" i="7" s="1"/>
  <c r="E32" i="5"/>
  <c r="D54" i="7" s="1"/>
  <c r="D32" i="5"/>
  <c r="C54" i="7" s="1"/>
  <c r="C32" i="5"/>
  <c r="L32" i="5"/>
  <c r="K54" i="7" s="1"/>
  <c r="K32" i="5"/>
  <c r="J54" i="7" s="1"/>
  <c r="N32" i="5"/>
  <c r="M54" i="7" s="1"/>
  <c r="M32" i="5"/>
  <c r="L54" i="7" s="1"/>
  <c r="J30" i="5"/>
  <c r="I52" i="7" s="1"/>
  <c r="C30" i="5"/>
  <c r="I30" i="5"/>
  <c r="H52" i="7" s="1"/>
  <c r="H30" i="5"/>
  <c r="G52" i="7" s="1"/>
  <c r="G30" i="5"/>
  <c r="F52" i="7" s="1"/>
  <c r="F30" i="5"/>
  <c r="E52" i="7" s="1"/>
  <c r="E30" i="5"/>
  <c r="D52" i="7" s="1"/>
  <c r="D30" i="5"/>
  <c r="C52" i="7" s="1"/>
  <c r="L30" i="5"/>
  <c r="K52" i="7" s="1"/>
  <c r="K30" i="5"/>
  <c r="J52" i="7" s="1"/>
  <c r="M30" i="5"/>
  <c r="L52" i="7" s="1"/>
  <c r="N30" i="5"/>
  <c r="M52" i="7" s="1"/>
  <c r="J17" i="5"/>
  <c r="I17" i="5"/>
  <c r="H17" i="5"/>
  <c r="G17" i="5"/>
  <c r="F17" i="5"/>
  <c r="E17" i="5"/>
  <c r="D17" i="5"/>
  <c r="C17" i="5"/>
  <c r="N17" i="5"/>
  <c r="M17" i="5"/>
  <c r="L17" i="5"/>
  <c r="K17" i="5"/>
  <c r="J23" i="5"/>
  <c r="I45" i="7" s="1"/>
  <c r="H23" i="5"/>
  <c r="G45" i="7" s="1"/>
  <c r="I23" i="5"/>
  <c r="H45" i="7" s="1"/>
  <c r="G23" i="5"/>
  <c r="F45" i="7" s="1"/>
  <c r="F23" i="5"/>
  <c r="E45" i="7" s="1"/>
  <c r="E23" i="5"/>
  <c r="D45" i="7" s="1"/>
  <c r="D23" i="5"/>
  <c r="C45" i="7" s="1"/>
  <c r="C23" i="5"/>
  <c r="K23" i="5"/>
  <c r="J45" i="7" s="1"/>
  <c r="N23" i="5"/>
  <c r="M45" i="7" s="1"/>
  <c r="M23" i="5"/>
  <c r="L45" i="7" s="1"/>
  <c r="L23" i="5"/>
  <c r="K45" i="7" s="1"/>
  <c r="N10" i="8"/>
  <c r="T6" i="8" s="1"/>
  <c r="G10" i="8"/>
  <c r="M10" i="8"/>
  <c r="K10" i="8"/>
  <c r="S6" i="8" s="1"/>
  <c r="J10" i="8"/>
  <c r="H10" i="8"/>
  <c r="R6" i="8" s="1"/>
  <c r="I13" i="4"/>
  <c r="C13" i="4"/>
  <c r="D13" i="4" s="1"/>
  <c r="H13" i="4"/>
  <c r="N27" i="5"/>
  <c r="M49" i="7" s="1"/>
  <c r="J27" i="5"/>
  <c r="I49" i="7" s="1"/>
  <c r="I27" i="5"/>
  <c r="H49" i="7" s="1"/>
  <c r="H27" i="5"/>
  <c r="G49" i="7" s="1"/>
  <c r="M27" i="5"/>
  <c r="L49" i="7" s="1"/>
  <c r="L27" i="5"/>
  <c r="K49" i="7" s="1"/>
  <c r="K27" i="5"/>
  <c r="J49" i="7" s="1"/>
  <c r="G27" i="5"/>
  <c r="F49" i="7" s="1"/>
  <c r="E27" i="5"/>
  <c r="D49" i="7" s="1"/>
  <c r="D27" i="5"/>
  <c r="C49" i="7" s="1"/>
  <c r="F27" i="5"/>
  <c r="E49" i="7" s="1"/>
  <c r="C27" i="5"/>
  <c r="J26" i="5"/>
  <c r="I48" i="7" s="1"/>
  <c r="I26" i="5"/>
  <c r="H48" i="7" s="1"/>
  <c r="H26" i="5"/>
  <c r="G48" i="7" s="1"/>
  <c r="G26" i="5"/>
  <c r="F48" i="7" s="1"/>
  <c r="F26" i="5"/>
  <c r="E48" i="7" s="1"/>
  <c r="E26" i="5"/>
  <c r="D48" i="7" s="1"/>
  <c r="D26" i="5"/>
  <c r="C48" i="7" s="1"/>
  <c r="C26" i="5"/>
  <c r="L26" i="5"/>
  <c r="K48" i="7" s="1"/>
  <c r="K26" i="5"/>
  <c r="J48" i="7" s="1"/>
  <c r="M26" i="5"/>
  <c r="L48" i="7" s="1"/>
  <c r="N26" i="5"/>
  <c r="M48" i="7" s="1"/>
  <c r="H19" i="8"/>
  <c r="R15" i="8" s="1"/>
  <c r="N19" i="8"/>
  <c r="T15" i="8" s="1"/>
  <c r="M19" i="8"/>
  <c r="G19" i="8"/>
  <c r="K19" i="8"/>
  <c r="S15" i="8" s="1"/>
  <c r="J19" i="8"/>
  <c r="I9" i="4"/>
  <c r="H9" i="4"/>
  <c r="C9" i="4"/>
  <c r="D9" i="4" s="1"/>
  <c r="M10" i="6"/>
  <c r="B24" i="7"/>
  <c r="I7" i="4"/>
  <c r="H7" i="4"/>
  <c r="C7" i="4"/>
  <c r="D7" i="4" s="1"/>
  <c r="F12" i="5"/>
  <c r="E12" i="5"/>
  <c r="D12" i="5"/>
  <c r="C12" i="5"/>
  <c r="O12" i="5" s="1" a="1"/>
  <c r="O12" i="5" s="1"/>
  <c r="G12" i="5"/>
  <c r="K12" i="5"/>
  <c r="M12" i="5"/>
  <c r="J12" i="5"/>
  <c r="H12" i="5"/>
  <c r="I12" i="5"/>
  <c r="N12" i="5"/>
  <c r="L12" i="5"/>
  <c r="J13" i="5"/>
  <c r="D13" i="5"/>
  <c r="I13" i="5"/>
  <c r="H13" i="5"/>
  <c r="G13" i="5"/>
  <c r="F13" i="5"/>
  <c r="E13" i="5"/>
  <c r="C13" i="5"/>
  <c r="O13" i="5" s="1" a="1"/>
  <c r="O13" i="5" s="1"/>
  <c r="M13" i="5"/>
  <c r="L13" i="5"/>
  <c r="K13" i="5"/>
  <c r="N13" i="5"/>
  <c r="K25" i="5"/>
  <c r="J47" i="7" s="1"/>
  <c r="N25" i="5"/>
  <c r="M47" i="7" s="1"/>
  <c r="M25" i="5"/>
  <c r="L47" i="7" s="1"/>
  <c r="L25" i="5"/>
  <c r="K47" i="7" s="1"/>
  <c r="F25" i="5"/>
  <c r="E47" i="7" s="1"/>
  <c r="E25" i="5"/>
  <c r="D47" i="7" s="1"/>
  <c r="I25" i="5"/>
  <c r="H47" i="7" s="1"/>
  <c r="H25" i="5"/>
  <c r="G47" i="7" s="1"/>
  <c r="G25" i="5"/>
  <c r="F47" i="7" s="1"/>
  <c r="D25" i="5"/>
  <c r="C47" i="7" s="1"/>
  <c r="C25" i="5"/>
  <c r="J25" i="5"/>
  <c r="I47" i="7" s="1"/>
  <c r="L10" i="6"/>
  <c r="C24" i="7"/>
  <c r="K10" i="5"/>
  <c r="J10" i="5"/>
  <c r="I10" i="5"/>
  <c r="H10" i="5"/>
  <c r="G10" i="5"/>
  <c r="N10" i="5"/>
  <c r="M10" i="5"/>
  <c r="L10" i="5"/>
  <c r="F10" i="5"/>
  <c r="E10" i="5"/>
  <c r="D10" i="5"/>
  <c r="C10" i="5"/>
  <c r="O10" i="5" s="1" a="1"/>
  <c r="O10" i="5" s="1"/>
  <c r="M17" i="8"/>
  <c r="K17" i="8"/>
  <c r="S13" i="8" s="1"/>
  <c r="J17" i="8"/>
  <c r="H17" i="8"/>
  <c r="R13" i="8" s="1"/>
  <c r="G17" i="8"/>
  <c r="O17" i="8" s="1"/>
  <c r="N17" i="8"/>
  <c r="T13" i="8" s="1"/>
  <c r="J11" i="5" l="1"/>
  <c r="I11" i="5"/>
  <c r="H11" i="5"/>
  <c r="G11" i="5"/>
  <c r="F11" i="5"/>
  <c r="E11" i="5"/>
  <c r="D11" i="5"/>
  <c r="C11" i="5"/>
  <c r="N11" i="5"/>
  <c r="L11" i="5"/>
  <c r="K11" i="5"/>
  <c r="M11" i="5"/>
  <c r="M6" i="6"/>
  <c r="B20" i="7"/>
  <c r="B26" i="7"/>
  <c r="M12" i="6"/>
  <c r="O28" i="5" a="1"/>
  <c r="O28" i="5" s="1"/>
  <c r="O10" i="6" s="1"/>
  <c r="B50" i="7"/>
  <c r="B54" i="7"/>
  <c r="O32" i="5" a="1"/>
  <c r="O32" i="5" s="1"/>
  <c r="O14" i="6" s="1"/>
  <c r="L12" i="6"/>
  <c r="C26" i="7"/>
  <c r="B47" i="7"/>
  <c r="O25" i="5" a="1"/>
  <c r="O25" i="5" s="1"/>
  <c r="O7" i="6" s="1"/>
  <c r="B23" i="7"/>
  <c r="M9" i="6"/>
  <c r="B27" i="7"/>
  <c r="M13" i="6"/>
  <c r="C22" i="7"/>
  <c r="L8" i="6"/>
  <c r="B28" i="7"/>
  <c r="M14" i="6"/>
  <c r="B21" i="7"/>
  <c r="M7" i="6"/>
  <c r="C27" i="7"/>
  <c r="L13" i="6"/>
  <c r="O14" i="8"/>
  <c r="O14" i="5" a="1"/>
  <c r="O14" i="5" s="1"/>
  <c r="B49" i="7"/>
  <c r="O27" i="5" a="1"/>
  <c r="O27" i="5" s="1"/>
  <c r="O9" i="6" s="1"/>
  <c r="L6" i="6"/>
  <c r="C20" i="7"/>
  <c r="O19" i="5" a="1"/>
  <c r="O19" i="5" s="1"/>
  <c r="M8" i="6"/>
  <c r="B22" i="7"/>
  <c r="O19" i="8"/>
  <c r="J24" i="5"/>
  <c r="I46" i="7" s="1"/>
  <c r="I24" i="5"/>
  <c r="H46" i="7" s="1"/>
  <c r="H24" i="5"/>
  <c r="G46" i="7" s="1"/>
  <c r="G24" i="5"/>
  <c r="F46" i="7" s="1"/>
  <c r="F24" i="5"/>
  <c r="E46" i="7" s="1"/>
  <c r="E24" i="5"/>
  <c r="D46" i="7" s="1"/>
  <c r="D24" i="5"/>
  <c r="C46" i="7" s="1"/>
  <c r="C24" i="5"/>
  <c r="N24" i="5"/>
  <c r="M46" i="7" s="1"/>
  <c r="M24" i="5"/>
  <c r="L46" i="7" s="1"/>
  <c r="L24" i="5"/>
  <c r="K46" i="7" s="1"/>
  <c r="K24" i="5"/>
  <c r="J46" i="7" s="1"/>
  <c r="C23" i="7"/>
  <c r="L9" i="6"/>
  <c r="O12" i="8"/>
  <c r="O17" i="5" a="1"/>
  <c r="O17" i="5" s="1"/>
  <c r="C21" i="7"/>
  <c r="L7" i="6"/>
  <c r="O10" i="8"/>
  <c r="C28" i="7"/>
  <c r="L14" i="6"/>
  <c r="B52" i="7"/>
  <c r="O30" i="5" a="1"/>
  <c r="O30" i="5" s="1"/>
  <c r="O12" i="6" s="1"/>
  <c r="B48" i="7"/>
  <c r="O26" i="5" a="1"/>
  <c r="O26" i="5" s="1"/>
  <c r="O8" i="6" s="1"/>
  <c r="O23" i="5" a="1"/>
  <c r="O23" i="5" s="1"/>
  <c r="O5" i="6" s="1"/>
  <c r="B45" i="7"/>
  <c r="J11" i="8"/>
  <c r="H11" i="8"/>
  <c r="R7" i="8" s="1"/>
  <c r="G11" i="8"/>
  <c r="K11" i="8"/>
  <c r="S7" i="8" s="1"/>
  <c r="N11" i="8"/>
  <c r="T7" i="8" s="1"/>
  <c r="M11" i="8"/>
  <c r="O11" i="5" l="1" a="1"/>
  <c r="O11" i="5" s="1"/>
  <c r="O11" i="8"/>
  <c r="O24" i="5" a="1"/>
  <c r="O24" i="5" s="1"/>
  <c r="O6" i="6" s="1"/>
  <c r="B46" i="7"/>
</calcChain>
</file>

<file path=xl/sharedStrings.xml><?xml version="1.0" encoding="utf-8"?>
<sst xmlns="http://schemas.openxmlformats.org/spreadsheetml/2006/main" count="354" uniqueCount="302">
  <si>
    <t>Supplementary Workbook — Water Consumption Impact (WCI) Analysis</t>
  </si>
  <si>
    <t>Companion to: AI Data Centers and the Water Use Feedback Loop (submitted to Water Research)</t>
  </si>
  <si>
    <t>1.  Purpose of this Workbook</t>
  </si>
  <si>
    <t>This workbook contains the full input data, equations, intermediate calculations, and sensitivity analyses that support the ten-site Water Consumption Impact (WCI) assessment reported in the main manuscript (Section 6). Every numerical result shown in the paper's figures and tables can be reproduced by opening the corresponding sheet; every formula is live and will re-evaluate if an input is changed. The workbook is self-contained: no external links, no macros, and no hidden sheets.</t>
  </si>
  <si>
    <t>2.  Sheet Index</t>
  </si>
  <si>
    <t>Sheet</t>
  </si>
  <si>
    <t>Contents</t>
  </si>
  <si>
    <t>0. Overview &amp; Methods</t>
  </si>
  <si>
    <t>This sheet. Workbook purpose, sheet index, equations, variable definitions, data sources, colour legend, and reproducibility notes.</t>
  </si>
  <si>
    <t>1. Inputs</t>
  </si>
  <si>
    <t>Raw site inputs (W, r, K, PF, population) for each of the ten data centres with source citations. Yellow cells are editable inputs; everything downstream recalculates automatically.</t>
  </si>
  <si>
    <t>2. WCI Decomposition</t>
  </si>
  <si>
    <t>Three-factor decomposition WCI = (W/K) × r × PF for each site, with W/K, r, PF, WCI, and C_avg/K tabulated. Includes a six-tier risk classification (OVERLOAD / SEVERE / HIGH / MODERATE / LOW / MINIMAL).</t>
  </si>
  <si>
    <t>3. Community Equivalence</t>
  </si>
  <si>
    <t>Translates consumptive water use C_avg into (i) annual household-equivalents at US average residential consumption (0.4146 ML/hh-yr) and (ii) the facility's share of total community water use.</t>
  </si>
  <si>
    <t>4. Growth Projections</t>
  </si>
  <si>
    <t>Two growth scenarios projected year-by-year from 2024 to 2035: HIGH (24% CAGR, Microsoft observed) and MODERATE (13% CAGR, US national aggregate, Shehabi 2024). Reports the year in which each site crosses WCI = 100%.</t>
  </si>
  <si>
    <t>5. Ranked Summary</t>
  </si>
  <si>
    <t>All sites ranked by WCI (descending) with the full set of decomposition, community-share, classification, and breach-year results on a single row per site. This sheet is the one-page reference.</t>
  </si>
  <si>
    <t>6. Chart Data</t>
  </si>
  <si>
    <t>Tidy data tables feeding the manuscript figures (WCI by site, community share, decomposition stacks, growth curves, policy-lever effects). Each block is a standalone plottable range.</t>
  </si>
  <si>
    <t>7. Policy Sensitivity</t>
  </si>
  <si>
    <t>Effect on WCI of three policy levers applied in isolation: SITING (W/K multiplier), TECHNOLOGY (target r), MANAGEMENT (target PF). Identifies the dominant lever for each site.</t>
  </si>
  <si>
    <t>3.  Equations</t>
  </si>
  <si>
    <t>Eq. (1)  Water Consumption Impact</t>
  </si>
  <si>
    <t>WCI = C_peak / K = (W / K) × r × PF</t>
  </si>
  <si>
    <t>Eq. (2)  Consumption (average day)</t>
  </si>
  <si>
    <t>C_avg = r × W</t>
  </si>
  <si>
    <t>Eq. (3)  Consumption (peak day)</t>
  </si>
  <si>
    <t>C_peak = C_avg × PF</t>
  </si>
  <si>
    <t>Eq. (4)  Household equivalence</t>
  </si>
  <si>
    <t>HH_equiv = (C_avg × 365.25) / H_avg,   where H_avg = 0.4146 ML / household / year</t>
  </si>
  <si>
    <t>Eq. (5)  Community share</t>
  </si>
  <si>
    <t>Share = C_avg / (pop × h_pc),   where h_pc = 0.000303 ML / person / day</t>
  </si>
  <si>
    <t>Eq. (6)  Growth projection</t>
  </si>
  <si>
    <t>WCI(t) = WCI(2024) × (1 + g)^t,   t = 0, 1, …, 11</t>
  </si>
  <si>
    <t>Eq. (7)  Policy lever — Siting</t>
  </si>
  <si>
    <t>WCI_site = (α × W/K) × r × PF,   α = 0.75 (default)</t>
  </si>
  <si>
    <t>Eq. (8)  Policy lever — Technology</t>
  </si>
  <si>
    <t>WCI_tech = (W/K) × min(r, r_target) × PF,   r_target = 0.25 (default)</t>
  </si>
  <si>
    <t>Eq. (9)  Policy lever — Management</t>
  </si>
  <si>
    <t>WCI_mgmt = (W/K) × r × min(PF, PF_target),   PF_target = 2.0 (default)</t>
  </si>
  <si>
    <t>4.  Variable Definitions and Units</t>
  </si>
  <si>
    <t>Symbol</t>
  </si>
  <si>
    <t>Definition  ·  Units  ·  Notes</t>
  </si>
  <si>
    <t>W</t>
  </si>
  <si>
    <t>Total water withdrawal by the facility (ML/d). Converted from operator-reported volume; 1 MGD = 3.78541 ML/d.</t>
  </si>
  <si>
    <t>C</t>
  </si>
  <si>
    <t>Consumptive use: water permanently removed from the local supply by evaporation in cooling towers (ML/d).</t>
  </si>
  <si>
    <t>r</t>
  </si>
  <si>
    <t>Consumptive ratio, r = C/W. Site-specific for Google sites (from Environmental Report 2025, EY-assured); industry average 0.77 assumed otherwise.</t>
  </si>
  <si>
    <t>K</t>
  </si>
  <si>
    <t>Host public water system permitted delivery capacity (ML/d), from state environmental permits and utility annual reports.</t>
  </si>
  <si>
    <t>PF</t>
  </si>
  <si>
    <t>Peaking factor: peak-day to average-day consumption ratio. Site-specific where available; 2.5 (warm-climate default) or 4.5 (extreme demand) otherwise.</t>
  </si>
  <si>
    <t>C_avg</t>
  </si>
  <si>
    <t>Average-day consumptive water use, C_avg = r × W (ML/d).</t>
  </si>
  <si>
    <t>C_peak</t>
  </si>
  <si>
    <t>Peak-day consumptive water use, C_peak = C_avg × PF (ML/d).</t>
  </si>
  <si>
    <t>PUE</t>
  </si>
  <si>
    <t>Power Usage Effectiveness = total facility energy / IT energy. Reported for Google facilities (2024).</t>
  </si>
  <si>
    <t>pop</t>
  </si>
  <si>
    <t>Population served by the host public water system (persons).</t>
  </si>
  <si>
    <t>h_pc</t>
  </si>
  <si>
    <t>Per-capita residential water use = 80 gal/day = 0.000303 ML/person/day (USGS 2015 Circular 1441).</t>
  </si>
  <si>
    <t>H_avg</t>
  </si>
  <si>
    <t>Average annual household water consumption = 0.4146 ML/household/year (USGS 2015).</t>
  </si>
  <si>
    <t>g</t>
  </si>
  <si>
    <t>Compound annual growth rate of facility water demand (unitless). HIGH scenario: 0.24; MODERATE scenario: 0.13.</t>
  </si>
  <si>
    <t>5.  WCI Risk Classification Thresholds</t>
  </si>
  <si>
    <t>Tier</t>
  </si>
  <si>
    <t>Definition and interpretation</t>
  </si>
  <si>
    <t>OVERLOAD (WCI &gt; 1.0)</t>
  </si>
  <si>
    <t>Peak-day consumption by the single facility exceeds the entire permitted capacity of the host utility. The community cannot physically serve both the data centre and its residents on the worst day without load shedding or emergency supply.</t>
  </si>
  <si>
    <t>SEVERE (0.50 &lt; WCI &lt;= 1.0)</t>
  </si>
  <si>
    <t>More than half of host utility capacity is claimed by one facility on the peak day. Routine stress events will produce shortages for residential and commercial users.</t>
  </si>
  <si>
    <t>HIGH (0.25 &lt; WCI &lt;= 0.50)</t>
  </si>
  <si>
    <t>A quarter to a half of utility capacity consumed. Growth headroom essentially eliminated; any further facilities will compound the stress.</t>
  </si>
  <si>
    <t>MODERATE (0.10 &lt; WCI &lt;= 0.25)</t>
  </si>
  <si>
    <t>Noticeable but manageable. Current capacity accommodates the facility but monitoring and demand-side management are warranted.</t>
  </si>
  <si>
    <t>LOW (0.05 &lt; WCI &lt;= 0.10)</t>
  </si>
  <si>
    <t>Minor contribution to utility load. Standard operational planning suffices.</t>
  </si>
  <si>
    <t>MINIMAL (WCI &lt;= 0.05)</t>
  </si>
  <si>
    <t>Negligible impact on utility. Data-centre withdrawal is within normal utility variation.</t>
  </si>
  <si>
    <t>6.  Data Sources</t>
  </si>
  <si>
    <t>•  Google LLC. 2025 Environmental Report. Site-level water withdrawal and consumption for 2024, assured by Ernst &amp; Young, p. 110-111.</t>
  </si>
  <si>
    <t>•  Han, M. et al. 2026. National-scale infrastructure and water demand projections for US data centres. (See §3.1.2 for the Wisconsin peaking factor derivation.)</t>
  </si>
  <si>
    <t>•  Shehabi, A. et al. 2024. 2024 United States Data Center Energy Usage Report. Lawrence Berkeley National Laboratory, LBNL-2001637.</t>
  </si>
  <si>
    <t>•  USGS 2015 Circular 1441. Estimated Use of Water in the United States. Basis for per-capita and household residential water use.</t>
  </si>
  <si>
    <t>•  Wisconsin Public Radio (2025). Water-use filings for Microsoft Mount Pleasant / Racine County hyperscale site.</t>
  </si>
  <si>
    <t>•  Google Botetourt County FAQ. Permit data for the 2 MGD Virginia campus.</t>
  </si>
  <si>
    <t>•  Greater Edwards Aquifer Alliance (GEAA) 2025. Permit and utility data for the xAI Colossus facility, Memphis, TN.</t>
  </si>
  <si>
    <t>•  Project Domino 2025. Data on the Meta Lebanon, Indiana campus.</t>
  </si>
  <si>
    <t>•  Microsoft Corporation. 2024 Environmental Sustainability Report. Fleet-level water withdrawal 2022-2024 basis for the HIGH-growth scenario.</t>
  </si>
  <si>
    <t>7.  Colour Legend</t>
  </si>
  <si>
    <t>Yellow background</t>
  </si>
  <si>
    <t>Editable hardcoded input. Change these cells to re-run the whole workbook.</t>
  </si>
  <si>
    <t>Navy header band</t>
  </si>
  <si>
    <t>Column or section header.</t>
  </si>
  <si>
    <t>Light-blue band</t>
  </si>
  <si>
    <t>Section subheader within a sheet.</t>
  </si>
  <si>
    <t>Light grey row</t>
  </si>
  <si>
    <t>Alternating body row, for readability only.</t>
  </si>
  <si>
    <t>Plain white cell</t>
  </si>
  <si>
    <t>Formula cell. Value is recomputed from inputs; do not overwrite.</t>
  </si>
  <si>
    <t>8.  Reproducibility Notes</t>
  </si>
  <si>
    <t>All formulas in the workbook are transparent and auditable. To reproduce any published value, open the relevant sheet and trace the cell back to Sheet 1 (Inputs) through the formula-reference chain. To run a scenario, edit the yellow input cells in Sheet 1; every downstream sheet refreshes automatically. No macros are used. The file contains no external links. Unit conversions use the exact factor 1 MGD = 3.78541 ML/d and 1 Mgal = 3.78541 ML.</t>
  </si>
  <si>
    <t>Workbook version</t>
  </si>
  <si>
    <t>v6 (supplementary submission)</t>
  </si>
  <si>
    <t>Last updated</t>
  </si>
  <si>
    <t>April 2026</t>
  </si>
  <si>
    <t>Contact</t>
  </si>
  <si>
    <t>See corresponding author in main manuscript</t>
  </si>
  <si>
    <t>Sheet 1 — Site Inputs</t>
  </si>
  <si>
    <t>Raw water-use and host-utility data for ten US data-centre sites.  Yellow cells are editable inputs.</t>
  </si>
  <si>
    <t>Site</t>
  </si>
  <si>
    <t>State</t>
  </si>
  <si>
    <t>Operator</t>
  </si>
  <si>
    <t>W (ML/yr)</t>
  </si>
  <si>
    <t>W (MGD)</t>
  </si>
  <si>
    <t>W (ML/d)</t>
  </si>
  <si>
    <t>r (C/W)</t>
  </si>
  <si>
    <t>C_avg (ML/d)</t>
  </si>
  <si>
    <t>K (MGD)</t>
  </si>
  <si>
    <t>K (ML/d)</t>
  </si>
  <si>
    <t>C_peak (ML/d)</t>
  </si>
  <si>
    <t>Population served</t>
  </si>
  <si>
    <t>PUE (2024)</t>
  </si>
  <si>
    <t>Source</t>
  </si>
  <si>
    <t>Source URL</t>
  </si>
  <si>
    <t>Notes</t>
  </si>
  <si>
    <t>Lebanon</t>
  </si>
  <si>
    <t>IN</t>
  </si>
  <si>
    <t>Meta</t>
  </si>
  <si>
    <t>—</t>
  </si>
  <si>
    <t>Han et al. 2026; Project Domino 2025</t>
  </si>
  <si>
    <t>Meta campus; r assumed at industry average; PF from permit application.</t>
  </si>
  <si>
    <t>Council Bluffs</t>
  </si>
  <si>
    <t>IA</t>
  </si>
  <si>
    <t>Google</t>
  </si>
  <si>
    <t>Google Environmental Report 2025 (p. 110)</t>
  </si>
  <si>
    <t>Two facilities (PUE 1.11/1.07). W=1,410.3 Mgal; C=1,010.2 Mgal. r=C/W.</t>
  </si>
  <si>
    <t>Mayes County</t>
  </si>
  <si>
    <t>OK</t>
  </si>
  <si>
    <t>W=1,108.3 Mgal; C=833.2 Mgal. PF=2.5 (warm-climate default).</t>
  </si>
  <si>
    <t>The Dalles</t>
  </si>
  <si>
    <t>OR</t>
  </si>
  <si>
    <t>Two facilities (PUE 1.10/1.06). W=461.1 Mgal; C=361.4 Mgal. PF from permit.</t>
  </si>
  <si>
    <t>Douglas County</t>
  </si>
  <si>
    <t>GA</t>
  </si>
  <si>
    <t>W=444.1 Mgal (7.4 potable + 436.7 reclaimed); C=366.9 Mgal.</t>
  </si>
  <si>
    <t>Wisconsin Site</t>
  </si>
  <si>
    <t>WI</t>
  </si>
  <si>
    <t>Microsoft</t>
  </si>
  <si>
    <t>Wisconsin Public Radio 2025; Han et al. 2026 §3.1.2</t>
  </si>
  <si>
    <t>Mount Pleasant / Racine County. 8.4 M gal/yr; peak-day ratio &gt;30x average from WPR records; r assumed; PF as adopted in Han 2026.</t>
  </si>
  <si>
    <t>Botetourt County</t>
  </si>
  <si>
    <t>VA</t>
  </si>
  <si>
    <t>Google Botetourt County FAQ</t>
  </si>
  <si>
    <t>Permitted 2 MGD; facility ramping; no PUE reported. r assumed.</t>
  </si>
  <si>
    <t>Memphis</t>
  </si>
  <si>
    <t>TN</t>
  </si>
  <si>
    <t>xAI</t>
  </si>
  <si>
    <t>GEAA 2025</t>
  </si>
  <si>
    <t>xAI Colossus facility. Host utility is Memphis Light, Gas &amp; Water (258 MGD). r and PF assumed.</t>
  </si>
  <si>
    <t>Midlothian</t>
  </si>
  <si>
    <t>TX</t>
  </si>
  <si>
    <t>W=221.0 Mgal; C=182.3 Mgal. City of Midlothian Water (36 MGD combined: Tayman 12 + Auger 24).</t>
  </si>
  <si>
    <t>Henderson</t>
  </si>
  <si>
    <t>NV</t>
  </si>
  <si>
    <t>W=359.9 Mgal; C=207.4 Mgal. Low r reflects discharge reuse. Host is SNWA (900 MGD).</t>
  </si>
  <si>
    <t>Methodology Notes</t>
  </si>
  <si>
    <t>Unit conversions</t>
  </si>
  <si>
    <t>1 MGD = 3.78541 ML/d (million gallons per day to megalitres per day). 1 M gal = 3.78541 ML.</t>
  </si>
  <si>
    <t>Consumptive ratio r</t>
  </si>
  <si>
    <t>r = C / W. For Google sites, r is computed directly from site-specific withdrawal and consumption reported in Google Environmental Report 2025 (p. 110-111, EY-assured). For non-Google sites, r = 0.77 is adopted as the industry average for evaporative cooling.</t>
  </si>
  <si>
    <t>Peaking factor PF</t>
  </si>
  <si>
    <t>Ratio of peak-day to average-day consumption. Site-specific where permit or utility records are available; otherwise 2.5 (warm-climate default) or 4.5 (extreme demand).</t>
  </si>
  <si>
    <t>Host utility capacity K</t>
  </si>
  <si>
    <t>Permitted delivery capacity in MGD, converted to ML/d. Sourced from state environmental permits and utility annual reports.</t>
  </si>
  <si>
    <t>Power Usage Effectiveness PUE</t>
  </si>
  <si>
    <t>Total facility energy divided by IT energy. Google reports per-facility PUE (2020-2024); fleet average = 1.09 in 2024. PUE is not publicly disclosed for non-Google operators.</t>
  </si>
  <si>
    <t>Sheet 2 — WCI Three-Factor Decomposition</t>
  </si>
  <si>
    <t>WCI = (W/K) × r × PF = C_peak / K.  Risk class thresholds are defined in Sheet 0 §5.</t>
  </si>
  <si>
    <t>W/K
(demand scale)</t>
  </si>
  <si>
    <t>r
(consumptive ratio)</t>
  </si>
  <si>
    <t>PF
(peaking factor)</t>
  </si>
  <si>
    <t>WCI</t>
  </si>
  <si>
    <t>WCI (%)</t>
  </si>
  <si>
    <t>C_avg / K</t>
  </si>
  <si>
    <t>C_avg/K (%)</t>
  </si>
  <si>
    <t>Classification</t>
  </si>
  <si>
    <t>Dominant factor</t>
  </si>
  <si>
    <t>Interpretation</t>
  </si>
  <si>
    <t>OVERLOAD: peak consumption exceeds entire utility capacity. Extreme peaking factor is the binding constraint.</t>
  </si>
  <si>
    <t>SEVERE: peak consumption claims 60% of utility capacity. Large facility footprint amplified by high PF.</t>
  </si>
  <si>
    <t>SEVERE: 57% of utility consumed. Rural Oklahoma utility; demand scale dominates.</t>
  </si>
  <si>
    <t>HIGH: 49% of utility consumed. Small-city utility with a large facility on demand-scale basis.</t>
  </si>
  <si>
    <t>HIGH: 31% consumed. Large county utility; arid climate drives high r.</t>
  </si>
  <si>
    <t>HIGH: extreme PF = 30 drives 27% peak load despite very small average withdrawal.</t>
  </si>
  <si>
    <t>MODERATE: 14%. Permitted 2 MGD against 28 MGD utility.</t>
  </si>
  <si>
    <t>LOW: 1.3%. Massive 258 MGD Memphis utility absorbs the facility load.</t>
  </si>
  <si>
    <t>MINIMAL: 3.5%. Midlothian's 36 MGD system comfortably absorbs facility demand, though DC share of community use is notable given the small population.</t>
  </si>
  <si>
    <t>MINIMAL: 0.2%. SNWA's 900 MGD system makes facility contribution negligible.</t>
  </si>
  <si>
    <t>Risk Classification Thresholds</t>
  </si>
  <si>
    <t>OVERLOAD</t>
  </si>
  <si>
    <t>WCI &gt; 1.00</t>
  </si>
  <si>
    <t>Peak-day consumption by the facility exceeds the entire permitted utility capacity.</t>
  </si>
  <si>
    <t>SEVERE</t>
  </si>
  <si>
    <t>0.50 &lt; WCI ≤ 1.00</t>
  </si>
  <si>
    <t>More than half of utility capacity is claimed by the facility on the peak day.</t>
  </si>
  <si>
    <t>HIGH</t>
  </si>
  <si>
    <t>0.25 &lt; WCI ≤ 0.50</t>
  </si>
  <si>
    <t>A quarter to a half of utility capacity consumed; growth headroom eliminated.</t>
  </si>
  <si>
    <t>MODERATE</t>
  </si>
  <si>
    <t>0.10 &lt; WCI ≤ 0.25</t>
  </si>
  <si>
    <t>Noticeable but manageable; demand-side measures warranted.</t>
  </si>
  <si>
    <t>LOW</t>
  </si>
  <si>
    <t>0.05 &lt; WCI ≤ 0.10</t>
  </si>
  <si>
    <t>Minor contribution to utility load; standard operational planning suffices.</t>
  </si>
  <si>
    <t>MINIMAL</t>
  </si>
  <si>
    <t>WCI ≤ 0.05</t>
  </si>
  <si>
    <t>Negligible impact on utility; within routine variation.</t>
  </si>
  <si>
    <t>Sheet 3 — Community Water Equivalence</t>
  </si>
  <si>
    <t>Translates facility consumption into household-equivalent and community-share terms.</t>
  </si>
  <si>
    <t>C_annual (ML/yr)</t>
  </si>
  <si>
    <t>Household equivalent</t>
  </si>
  <si>
    <t>Per-capita use (ML/d)</t>
  </si>
  <si>
    <t>Community total (ML/d)</t>
  </si>
  <si>
    <t>DC / Community (%)</t>
  </si>
  <si>
    <t>DC equivalent residents</t>
  </si>
  <si>
    <t>Facility consumes water equivalent to 68% of the entire small-city community's residential demand.</t>
  </si>
  <si>
    <t>Equal to 55% of the 63,000-person community's residential water use.</t>
  </si>
  <si>
    <t>Equal to 70% of the 41,000-person rural community's residential water use.</t>
  </si>
  <si>
    <t>Equal to 77% of a 16,000-person town's residential water use.</t>
  </si>
  <si>
    <t>Equal to 9% of the 146,000-person county's residential water use.</t>
  </si>
  <si>
    <t>Equal to 2% of the community's residential water use (tiny facility; dominant stress is peaking).</t>
  </si>
  <si>
    <t>Equal to 57% of the 34,000-person county's residential water use.</t>
  </si>
  <si>
    <t>Equal to 1.5% of the 630,000-person city's residential water use.</t>
  </si>
  <si>
    <t>Equal to 15.6% of the 40,000-person city's residential water use.</t>
  </si>
  <si>
    <t>Equal to 2.2% of the 320,000-person metro area's residential water use.</t>
  </si>
  <si>
    <t>Constants</t>
  </si>
  <si>
    <t>Average US household water use</t>
  </si>
  <si>
    <t>0.4146 ML/household/year</t>
  </si>
  <si>
    <t>USGS 2015 Circular 1441</t>
  </si>
  <si>
    <t>Per-capita residential use</t>
  </si>
  <si>
    <t>0.000303 ML/person/day (≈ 80 gal/day)</t>
  </si>
  <si>
    <t>Sheet 4 — Growth Projections to 2035</t>
  </si>
  <si>
    <t>WCI(t) = WCI(2024) × (1 + g)^t.  Two scenarios: HIGH (24% CAGR, Microsoft observed) and MODERATE (13% CAGR, US aggregate, Shehabi 2024).</t>
  </si>
  <si>
    <t>Scenario Parameters</t>
  </si>
  <si>
    <t>HIGH scenario CAGR</t>
  </si>
  <si>
    <t>Microsoft observed water CAGR 2022-2024 (12,076 → 18,564 ML).</t>
  </si>
  <si>
    <t>MODERATE scenario CAGR</t>
  </si>
  <si>
    <t>US national data centre water growth 2014-2023 (21.2 → 66 BL), Shehabi 2024.</t>
  </si>
  <si>
    <t>Panel A — HIGH growth scenario</t>
  </si>
  <si>
    <t>WCI 2024
(base)</t>
  </si>
  <si>
    <t>Breach year
(WCI &gt; 100%)</t>
  </si>
  <si>
    <t>Panel B — MODERATE growth scenario</t>
  </si>
  <si>
    <t>Sheet 5 — Ranked Summary of Ten Sites</t>
  </si>
  <si>
    <t>Single-row-per-site reference.  Rows are positionally ordered by unsorted source; see column I (WCI) to rank descending.</t>
  </si>
  <si>
    <t>Rank</t>
  </si>
  <si>
    <t>W/K</t>
  </si>
  <si>
    <t>Yrs to 100%
(13% CAGR)</t>
  </si>
  <si>
    <t>Each block is a self-contained plot range referenced from live calculation sheets.</t>
  </si>
  <si>
    <t>Block A — WCI and C_avg/K by site  (Fig. 3)</t>
  </si>
  <si>
    <t>Block B — Facility share of community water use  (Fig. 3b)</t>
  </si>
  <si>
    <t>Block C — Decomposition factors  (Fig. 4)</t>
  </si>
  <si>
    <t>Block D — 13% CAGR trajectories (Figure 5b)</t>
  </si>
  <si>
    <t>Sheet 7 — Policy Lever Sensitivity</t>
  </si>
  <si>
    <t>Effect on WCI of three policy levers applied in isolation.  Yellow cells are editable targets.</t>
  </si>
  <si>
    <t>Lever Targets  (edit to re-run)</t>
  </si>
  <si>
    <t>Figure 5a — plot data</t>
  </si>
  <si>
    <t>Siting multiplier α</t>
  </si>
  <si>
    <t>W/K multiplier (0.75 = move facility to a utility 33% larger for the same W).</t>
  </si>
  <si>
    <t>Siting Δ</t>
  </si>
  <si>
    <t>Technology Δ</t>
  </si>
  <si>
    <t>Management Δ</t>
  </si>
  <si>
    <t>Technology target r</t>
  </si>
  <si>
    <t>Target consumptive ratio (0.25 ≈ closed-loop / dry-cooling hybrid).</t>
  </si>
  <si>
    <t>Management target PF</t>
  </si>
  <si>
    <t>Target peaking factor (2.0 = well-managed demand-shifted operation).</t>
  </si>
  <si>
    <t>Baseline
W/K</t>
  </si>
  <si>
    <t>Baseline
r</t>
  </si>
  <si>
    <t>Baseline
PF</t>
  </si>
  <si>
    <t>Baseline
WCI</t>
  </si>
  <si>
    <t>Siting
new WCI</t>
  </si>
  <si>
    <t>Siting
Δ</t>
  </si>
  <si>
    <t>Siting
Δ %</t>
  </si>
  <si>
    <t>Tech
new WCI</t>
  </si>
  <si>
    <t>Tech
Δ</t>
  </si>
  <si>
    <t>Tech
Δ %</t>
  </si>
  <si>
    <t>Mgmt
new WCI</t>
  </si>
  <si>
    <t>Mgmt
Δ</t>
  </si>
  <si>
    <t>Mgmt
Δ %</t>
  </si>
  <si>
    <t>Dominant lever</t>
  </si>
  <si>
    <t>Interpretation Notes</t>
  </si>
  <si>
    <t>•  Each lever is applied to one factor only, holding the other two at their current values. This isolates the marginal benefit of the lever and is conservative relative to any combined intervention.</t>
  </si>
  <si>
    <t>•  MIN() guards ensure that a site already performing better than the target on a given factor is not penalised (new WCI ≤ baseline by construction).</t>
  </si>
  <si>
    <t>•  The Siting lever is modelled as a W/K multiplier because physical relocation and utility capacity expansion are interchangeable for the purposes of the ratio.</t>
  </si>
  <si>
    <t>•  The dominant lever column indicates which intervention delivers the largest absolute WCI reduction for each site; this is actionable policy guidance derived mechanically from the decomposition.</t>
  </si>
  <si>
    <t>•  For sites already classified MINIMAL or LOW (Memphis, Mesa, Henderson), all levers produce only marginal gains; intervention should be directed elsewhere.</t>
  </si>
  <si>
    <t>Sheet 6 —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</si>
</sst>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0.000;\-"/>
    <numFmt numFmtId="166" formatCode="0.000"/>
    <numFmt numFmtId="167" formatCode="#,##0.0"/>
    <numFmt numFmtId="168" formatCode="0.0%"/>
    <numFmt numFmtId="169" formatCode="0.000000"/>
    <numFmt numFmtId="170" formatCode="0.0%;\(0.0%\);\-"/>
  </numFmts>
  <fonts count="8" x14ac:knownFonts="1">
    <font>
      <sz val="11"/>
      <color theme="1"/>
      <name val="Calibri"/>
      <family val="2"/>
      <charset val="1"/>
    </font>
    <font>
      <b/>
      <sz val="14"/>
      <color rgb="FFFFFFFF"/>
      <name val="Arial"/>
      <family val="2"/>
    </font>
    <font>
      <b/>
      <sz val="10"/>
      <color rgb="FFFFFFFF"/>
      <name val="Arial"/>
      <family val="2"/>
    </font>
    <font>
      <b/>
      <sz val="10"/>
      <color rgb="FF1F1F1F"/>
      <name val="Arial"/>
      <family val="2"/>
    </font>
    <font>
      <sz val="10"/>
      <color rgb="FF1F1F1F"/>
      <name val="Arial"/>
      <family val="2"/>
    </font>
    <font>
      <b/>
      <sz val="11"/>
      <color rgb="FFFFFFFF"/>
      <name val="Arial"/>
      <family val="2"/>
    </font>
    <font>
      <u/>
      <sz val="10"/>
      <color rgb="FF0563C1"/>
      <name val="Arial"/>
      <family val="2"/>
    </font>
    <font>
      <i/>
      <sz val="10"/>
      <color rgb="FF555555"/>
      <name val="Arial"/>
      <family val="2"/>
    </font>
  </fonts>
  <fills count="7">
    <fill>
      <patternFill patternType="none"/>
    </fill>
    <fill>
      <patternFill patternType="gray125"/>
    </fill>
    <fill>
      <patternFill patternType="solid">
        <fgColor rgb="FF1F3864"/>
        <bgColor rgb="FF2E5597"/>
      </patternFill>
    </fill>
    <fill>
      <patternFill patternType="solid">
        <fgColor rgb="FF2E5597"/>
        <bgColor rgb="FF0563C1"/>
      </patternFill>
    </fill>
    <fill>
      <patternFill patternType="solid">
        <fgColor rgb="FFD9E1F2"/>
        <bgColor rgb="FFD9D9D9"/>
      </patternFill>
    </fill>
    <fill>
      <patternFill patternType="solid">
        <fgColor rgb="FFFFF2CC"/>
        <bgColor rgb="FFF5F7FB"/>
      </patternFill>
    </fill>
    <fill>
      <patternFill patternType="solid">
        <fgColor rgb="FFF5F7FB"/>
        <bgColor rgb="FFFFFFFF"/>
      </patternFill>
    </fill>
  </fills>
  <borders count="5">
    <border>
      <left/>
      <right/>
      <top/>
      <bottom/>
      <diagonal/>
    </border>
    <border>
      <left style="thin">
        <color rgb="FFBFBFBF"/>
      </left>
      <right style="thin">
        <color rgb="FFBFBFBF"/>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1F3864"/>
      </left>
      <right style="thin">
        <color rgb="FF1F3864"/>
      </right>
      <top style="thin">
        <color rgb="FF1F3864"/>
      </top>
      <bottom style="thin">
        <color rgb="FF1F3864"/>
      </bottom>
      <diagonal/>
    </border>
  </borders>
  <cellStyleXfs count="1">
    <xf numFmtId="0" fontId="0" fillId="0" borderId="0"/>
  </cellStyleXfs>
  <cellXfs count="68">
    <xf numFmtId="0" fontId="0" fillId="0" borderId="0" xfId="0"/>
    <xf numFmtId="0" fontId="4" fillId="0" borderId="3" xfId="0" applyFont="1" applyBorder="1" applyAlignment="1">
      <alignment horizontal="left" vertical="center" wrapText="1"/>
    </xf>
    <xf numFmtId="168" fontId="0" fillId="5" borderId="3" xfId="0" applyNumberFormat="1" applyFill="1" applyBorder="1" applyAlignment="1">
      <alignment horizontal="center"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4" fillId="0" borderId="3" xfId="0" applyFont="1" applyBorder="1" applyAlignment="1">
      <alignment horizontal="left" vertical="top" wrapText="1"/>
    </xf>
    <xf numFmtId="0" fontId="4" fillId="0" borderId="3" xfId="0" applyFont="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4" borderId="0" xfId="0" applyFont="1" applyFill="1" applyAlignment="1">
      <alignment horizontal="left" vertical="center"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5" fillId="3" borderId="1" xfId="0" applyFont="1" applyFill="1" applyBorder="1" applyAlignment="1">
      <alignment horizontal="center" vertical="center" wrapText="1"/>
    </xf>
    <xf numFmtId="0" fontId="0" fillId="3" borderId="1" xfId="0" applyFill="1"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5"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0" borderId="0" xfId="0" applyFont="1"/>
    <xf numFmtId="0" fontId="4" fillId="0" borderId="0" xfId="0" applyFont="1"/>
    <xf numFmtId="0" fontId="4" fillId="0" borderId="2" xfId="0" applyFont="1" applyBorder="1" applyAlignment="1">
      <alignment horizontal="center" vertical="center" wrapText="1"/>
    </xf>
    <xf numFmtId="164" fontId="4" fillId="0" borderId="2" xfId="0" applyNumberFormat="1" applyFont="1" applyBorder="1"/>
    <xf numFmtId="165" fontId="4" fillId="5" borderId="2" xfId="0" applyNumberFormat="1" applyFont="1" applyFill="1" applyBorder="1"/>
    <xf numFmtId="166" fontId="4" fillId="0" borderId="2" xfId="0" applyNumberFormat="1" applyFont="1" applyBorder="1"/>
    <xf numFmtId="166" fontId="4" fillId="5" borderId="2" xfId="0" applyNumberFormat="1" applyFont="1" applyFill="1" applyBorder="1"/>
    <xf numFmtId="167" fontId="4" fillId="5" borderId="2" xfId="0" applyNumberFormat="1" applyFont="1" applyFill="1" applyBorder="1"/>
    <xf numFmtId="4" fontId="4" fillId="0" borderId="2" xfId="0" applyNumberFormat="1" applyFont="1" applyBorder="1"/>
    <xf numFmtId="2" fontId="4" fillId="5" borderId="2" xfId="0" applyNumberFormat="1" applyFont="1" applyFill="1" applyBorder="1"/>
    <xf numFmtId="3" fontId="4" fillId="5" borderId="2" xfId="0" applyNumberFormat="1" applyFont="1" applyFill="1" applyBorder="1"/>
    <xf numFmtId="2" fontId="4" fillId="0" borderId="2" xfId="0" applyNumberFormat="1" applyFont="1" applyBorder="1"/>
    <xf numFmtId="0" fontId="6" fillId="0" borderId="2" xfId="0" applyFont="1" applyBorder="1" applyAlignment="1">
      <alignment horizontal="left" vertical="center" wrapText="1"/>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164" fontId="4" fillId="5" borderId="2" xfId="0" applyNumberFormat="1" applyFont="1" applyFill="1" applyBorder="1"/>
    <xf numFmtId="165" fontId="4" fillId="6" borderId="2" xfId="0" applyNumberFormat="1" applyFont="1" applyFill="1" applyBorder="1"/>
    <xf numFmtId="166" fontId="4" fillId="6" borderId="2" xfId="0" applyNumberFormat="1" applyFont="1" applyFill="1" applyBorder="1"/>
    <xf numFmtId="4" fontId="4" fillId="6" borderId="2" xfId="0" applyNumberFormat="1" applyFont="1" applyFill="1" applyBorder="1"/>
    <xf numFmtId="2" fontId="4" fillId="6" borderId="2" xfId="0" applyNumberFormat="1" applyFont="1" applyFill="1" applyBorder="1"/>
    <xf numFmtId="0" fontId="6" fillId="6" borderId="2" xfId="0" applyFont="1" applyFill="1" applyBorder="1" applyAlignment="1">
      <alignment horizontal="left" vertical="center" wrapText="1"/>
    </xf>
    <xf numFmtId="0" fontId="4" fillId="6" borderId="2" xfId="0" applyFont="1" applyFill="1" applyBorder="1" applyAlignment="1">
      <alignment horizontal="left" vertical="top" wrapText="1"/>
    </xf>
    <xf numFmtId="165" fontId="4" fillId="0" borderId="2" xfId="0" applyNumberFormat="1" applyFont="1" applyBorder="1"/>
    <xf numFmtId="164" fontId="4" fillId="6" borderId="2" xfId="0" applyNumberFormat="1" applyFont="1" applyFill="1" applyBorder="1"/>
    <xf numFmtId="168" fontId="4" fillId="0" borderId="2" xfId="0" applyNumberFormat="1" applyFont="1" applyBorder="1"/>
    <xf numFmtId="0" fontId="4" fillId="0" borderId="2" xfId="0" applyFont="1" applyBorder="1"/>
    <xf numFmtId="168" fontId="4" fillId="6" borderId="2" xfId="0" applyNumberFormat="1" applyFont="1" applyFill="1" applyBorder="1"/>
    <xf numFmtId="0" fontId="4" fillId="6" borderId="2" xfId="0" applyFont="1" applyFill="1" applyBorder="1"/>
    <xf numFmtId="3" fontId="4" fillId="0" borderId="2" xfId="0" applyNumberFormat="1" applyFont="1" applyBorder="1"/>
    <xf numFmtId="169" fontId="4" fillId="0" borderId="2" xfId="0" applyNumberFormat="1" applyFont="1" applyBorder="1"/>
    <xf numFmtId="3" fontId="4" fillId="6" borderId="2" xfId="0" applyNumberFormat="1" applyFont="1" applyFill="1" applyBorder="1"/>
    <xf numFmtId="169" fontId="4" fillId="6" borderId="2" xfId="0" applyNumberFormat="1" applyFont="1" applyFill="1" applyBorder="1"/>
    <xf numFmtId="0" fontId="3" fillId="0" borderId="2" xfId="0" applyFont="1" applyBorder="1" applyAlignment="1">
      <alignment horizontal="left" vertical="center" wrapText="1"/>
    </xf>
    <xf numFmtId="1" fontId="5" fillId="3" borderId="1" xfId="0" applyNumberFormat="1" applyFont="1" applyFill="1" applyBorder="1" applyAlignment="1">
      <alignment horizontal="center" vertical="center" wrapText="1"/>
    </xf>
    <xf numFmtId="1" fontId="4" fillId="0" borderId="2" xfId="0" applyNumberFormat="1" applyFont="1" applyBorder="1"/>
    <xf numFmtId="1" fontId="4" fillId="6" borderId="2" xfId="0" applyNumberFormat="1" applyFont="1" applyFill="1" applyBorder="1"/>
    <xf numFmtId="167" fontId="4" fillId="0" borderId="2" xfId="0" applyNumberFormat="1" applyFont="1" applyBorder="1"/>
    <xf numFmtId="167" fontId="4" fillId="6" borderId="2" xfId="0" applyNumberFormat="1" applyFont="1" applyFill="1" applyBorder="1"/>
    <xf numFmtId="1" fontId="0" fillId="0" borderId="0" xfId="0" applyNumberFormat="1"/>
    <xf numFmtId="170" fontId="4" fillId="0" borderId="2" xfId="0" applyNumberFormat="1" applyFont="1" applyBorder="1"/>
    <xf numFmtId="170" fontId="0" fillId="0" borderId="0" xfId="0" applyNumberFormat="1"/>
    <xf numFmtId="170" fontId="4" fillId="6" borderId="2" xfId="0" applyNumberFormat="1" applyFont="1" applyFill="1" applyBorder="1"/>
    <xf numFmtId="2" fontId="0" fillId="5" borderId="2" xfId="0" applyNumberFormat="1" applyFill="1" applyBorder="1" applyAlignment="1">
      <alignment horizontal="center" vertical="center" wrapText="1"/>
    </xf>
    <xf numFmtId="0" fontId="2" fillId="2" borderId="4" xfId="0" applyFont="1" applyFill="1" applyBorder="1" applyAlignment="1">
      <alignment horizontal="center" vertical="center" wrapText="1"/>
    </xf>
    <xf numFmtId="168"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E41A1C"/>
      <rgbColor rgb="FF00FF00"/>
      <rgbColor rgb="FF0000FF"/>
      <rgbColor rgb="FFFFFF00"/>
      <rgbColor rgb="FFFF00FF"/>
      <rgbColor rgb="FF00FFFF"/>
      <rgbColor rgb="FF800000"/>
      <rgbColor rgb="FF008000"/>
      <rgbColor rgb="FF000080"/>
      <rgbColor rgb="FFC0504D"/>
      <rgbColor rgb="FF800080"/>
      <rgbColor rgb="FF4F81BD"/>
      <rgbColor rgb="FFBFBFBF"/>
      <rgbColor rgb="FF809B49"/>
      <rgbColor rgb="FF9999FF"/>
      <rgbColor rgb="FF9F423F"/>
      <rgbColor rgb="FFFFF2CC"/>
      <rgbColor rgb="FFF5F7FB"/>
      <rgbColor rgb="FF660066"/>
      <rgbColor rgb="FFFC8D62"/>
      <rgbColor rgb="FF0563C1"/>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B3B3B3"/>
      <rgbColor rgb="FFF781BF"/>
      <rgbColor rgb="FFD8AAA9"/>
      <rgbColor rgb="FFC5D6AC"/>
      <rgbColor rgb="FF377EB8"/>
      <rgbColor rgb="FF66C2A5"/>
      <rgbColor rgb="FF9BBB59"/>
      <rgbColor rgb="FFFFCC00"/>
      <rgbColor rgb="FFFF9900"/>
      <rgbColor rgb="FFFF7F00"/>
      <rgbColor rgb="FF8064A2"/>
      <rgbColor rgb="FF999999"/>
      <rgbColor rgb="FF1F3864"/>
      <rgbColor rgb="FF4DAF4A"/>
      <rgbColor rgb="FF003300"/>
      <rgbColor rgb="FF555555"/>
      <rgbColor rgb="FFA65628"/>
      <rgbColor rgb="FF984EA3"/>
      <rgbColor rgb="FF2E5597"/>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3a — Peak-day WCI (% of host capacity)</a:t>
            </a:r>
          </a:p>
        </c:rich>
      </c:tx>
      <c:overlay val="0"/>
      <c:spPr>
        <a:noFill/>
        <a:ln w="0">
          <a:noFill/>
        </a:ln>
      </c:spPr>
    </c:title>
    <c:autoTitleDeleted val="0"/>
    <c:plotArea>
      <c:layout/>
      <c:barChart>
        <c:barDir val="bar"/>
        <c:grouping val="clustered"/>
        <c:varyColors val="0"/>
        <c:ser>
          <c:idx val="0"/>
          <c:order val="0"/>
          <c:tx>
            <c:strRef>
              <c:f>'6. Chart Data'!$B$5</c:f>
              <c:strCache>
                <c:ptCount val="1"/>
                <c:pt idx="0">
                  <c:v>WCI (%)</c:v>
                </c:pt>
              </c:strCache>
            </c:strRef>
          </c:tx>
          <c:spPr>
            <a:solidFill>
              <a:srgbClr val="4F81B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Data'!$A$6:$A$15</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Data'!$B$6:$B$15</c:f>
              <c:numCache>
                <c:formatCode>0.0%</c:formatCode>
                <c:ptCount val="10"/>
                <c:pt idx="0">
                  <c:v>1.3392978260869566</c:v>
                </c:pt>
                <c:pt idx="1">
                  <c:v>0.59900349541618747</c:v>
                </c:pt>
                <c:pt idx="2">
                  <c:v>0.57046377754557498</c:v>
                </c:pt>
                <c:pt idx="3">
                  <c:v>0.48608534314843405</c:v>
                </c:pt>
                <c:pt idx="4">
                  <c:v>0.31377411938308813</c:v>
                </c:pt>
                <c:pt idx="5">
                  <c:v>0.26565</c:v>
                </c:pt>
                <c:pt idx="6">
                  <c:v>0.13750000000000001</c:v>
                </c:pt>
                <c:pt idx="7">
                  <c:v>1.3430232558139535E-2</c:v>
                </c:pt>
                <c:pt idx="8">
                  <c:v>3.466619431259025E-2</c:v>
                </c:pt>
                <c:pt idx="9">
                  <c:v>1.5769469696016712E-3</c:v>
                </c:pt>
              </c:numCache>
            </c:numRef>
          </c:val>
          <c:extLst>
            <c:ext xmlns:c16="http://schemas.microsoft.com/office/drawing/2014/chart" uri="{C3380CC4-5D6E-409C-BE32-E72D297353CC}">
              <c16:uniqueId val="{00000000-6F29-4182-BFEA-7472783FFF82}"/>
            </c:ext>
          </c:extLst>
        </c:ser>
        <c:dLbls>
          <c:showLegendKey val="0"/>
          <c:showVal val="0"/>
          <c:showCatName val="0"/>
          <c:showSerName val="0"/>
          <c:showPercent val="0"/>
          <c:showBubbleSize val="0"/>
        </c:dLbls>
        <c:gapWidth val="150"/>
        <c:axId val="55039881"/>
        <c:axId val="30880255"/>
      </c:barChart>
      <c:catAx>
        <c:axId val="55039881"/>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WCI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880255"/>
        <c:crosses val="autoZero"/>
        <c:auto val="1"/>
        <c:lblAlgn val="ctr"/>
        <c:lblOffset val="100"/>
        <c:noMultiLvlLbl val="0"/>
      </c:catAx>
      <c:valAx>
        <c:axId val="30880255"/>
        <c:scaling>
          <c:orientation val="minMax"/>
        </c:scaling>
        <c:delete val="0"/>
        <c:axPos val="b"/>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503988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3b — Facility water use as share of community water</a:t>
            </a:r>
          </a:p>
        </c:rich>
      </c:tx>
      <c:overlay val="0"/>
      <c:spPr>
        <a:noFill/>
        <a:ln w="0">
          <a:noFill/>
        </a:ln>
      </c:spPr>
    </c:title>
    <c:autoTitleDeleted val="0"/>
    <c:plotArea>
      <c:layout/>
      <c:barChart>
        <c:barDir val="bar"/>
        <c:grouping val="clustered"/>
        <c:varyColors val="0"/>
        <c:ser>
          <c:idx val="0"/>
          <c:order val="0"/>
          <c:tx>
            <c:strRef>
              <c:f>'6. Chart Data'!$B$18</c:f>
              <c:strCache>
                <c:ptCount val="1"/>
                <c:pt idx="0">
                  <c:v>DC / Community (%)</c:v>
                </c:pt>
              </c:strCache>
            </c:strRef>
          </c:tx>
          <c:spPr>
            <a:solidFill>
              <a:srgbClr val="C0504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Data'!$A$19:$A$28</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Data'!$B$19:$B$28</c:f>
              <c:numCache>
                <c:formatCode>0.0%</c:formatCode>
                <c:ptCount val="10"/>
                <c:pt idx="0">
                  <c:v>0.6787224860652733</c:v>
                </c:pt>
                <c:pt idx="1">
                  <c:v>0.5482353078696286</c:v>
                </c:pt>
                <c:pt idx="2">
                  <c:v>0.69530364264953548</c:v>
                </c:pt>
                <c:pt idx="3">
                  <c:v>0.77282841220467025</c:v>
                </c:pt>
                <c:pt idx="4">
                  <c:v>8.5918075085053433E-2</c:v>
                </c:pt>
                <c:pt idx="5">
                  <c:v>1.8437736826182615E-2</c:v>
                </c:pt>
                <c:pt idx="6">
                  <c:v>0.56586404581634642</c:v>
                </c:pt>
                <c:pt idx="7">
                  <c:v>1.5269347268060141E-2</c:v>
                </c:pt>
                <c:pt idx="8">
                  <c:v>0.15591179241127398</c:v>
                </c:pt>
                <c:pt idx="9">
                  <c:v>2.2163579807672758E-2</c:v>
                </c:pt>
              </c:numCache>
            </c:numRef>
          </c:val>
          <c:extLst>
            <c:ext xmlns:c16="http://schemas.microsoft.com/office/drawing/2014/chart" uri="{C3380CC4-5D6E-409C-BE32-E72D297353CC}">
              <c16:uniqueId val="{00000000-A9D1-4CE9-A8E2-65A413B3EC0F}"/>
            </c:ext>
          </c:extLst>
        </c:ser>
        <c:dLbls>
          <c:showLegendKey val="0"/>
          <c:showVal val="0"/>
          <c:showCatName val="0"/>
          <c:showSerName val="0"/>
          <c:showPercent val="0"/>
          <c:showBubbleSize val="0"/>
        </c:dLbls>
        <c:gapWidth val="150"/>
        <c:axId val="78511875"/>
        <c:axId val="19032436"/>
      </c:barChart>
      <c:catAx>
        <c:axId val="78511875"/>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Share of community water use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9032436"/>
        <c:crosses val="autoZero"/>
        <c:auto val="1"/>
        <c:lblAlgn val="ctr"/>
        <c:lblOffset val="100"/>
        <c:noMultiLvlLbl val="0"/>
      </c:catAx>
      <c:valAx>
        <c:axId val="19032436"/>
        <c:scaling>
          <c:orientation val="minMax"/>
        </c:scaling>
        <c:delete val="0"/>
        <c:axPos val="b"/>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8511875"/>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4a — Three-factor WCI decomposition (W/K, r, PF)</a:t>
            </a:r>
          </a:p>
        </c:rich>
      </c:tx>
      <c:overlay val="0"/>
      <c:spPr>
        <a:noFill/>
        <a:ln w="0">
          <a:noFill/>
        </a:ln>
      </c:spPr>
    </c:title>
    <c:autoTitleDeleted val="0"/>
    <c:plotArea>
      <c:layout/>
      <c:barChart>
        <c:barDir val="col"/>
        <c:grouping val="clustered"/>
        <c:varyColors val="0"/>
        <c:ser>
          <c:idx val="0"/>
          <c:order val="0"/>
          <c:tx>
            <c:strRef>
              <c:f>'6. Chart Data'!$B$31</c:f>
              <c:strCache>
                <c:ptCount val="1"/>
                <c:pt idx="0">
                  <c:v>W/K</c:v>
                </c:pt>
              </c:strCache>
            </c:strRef>
          </c:tx>
          <c:spPr>
            <a:solidFill>
              <a:srgbClr val="809B49"/>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Data'!$A$32:$A$41</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Data'!$B$32:$B$41</c:f>
              <c:numCache>
                <c:formatCode>0.000</c:formatCode>
                <c:ptCount val="10"/>
                <c:pt idx="0">
                  <c:v>0.27608695652173915</c:v>
                </c:pt>
                <c:pt idx="1">
                  <c:v>0.12870724009802051</c:v>
                </c:pt>
                <c:pt idx="2">
                  <c:v>0.3034381795455186</c:v>
                </c:pt>
                <c:pt idx="3">
                  <c:v>0.28054607024450207</c:v>
                </c:pt>
                <c:pt idx="4">
                  <c:v>0.15194872609350515</c:v>
                </c:pt>
                <c:pt idx="5">
                  <c:v>1.15E-2</c:v>
                </c:pt>
                <c:pt idx="6">
                  <c:v>7.1428571428571425E-2</c:v>
                </c:pt>
                <c:pt idx="7">
                  <c:v>3.875968992248062E-3</c:v>
                </c:pt>
                <c:pt idx="8">
                  <c:v>1.6807851787922545E-2</c:v>
                </c:pt>
                <c:pt idx="9">
                  <c:v>1.0951020622233828E-3</c:v>
                </c:pt>
              </c:numCache>
            </c:numRef>
          </c:val>
          <c:extLst>
            <c:ext xmlns:c16="http://schemas.microsoft.com/office/drawing/2014/chart" uri="{C3380CC4-5D6E-409C-BE32-E72D297353CC}">
              <c16:uniqueId val="{00000000-F9A5-4BA8-ABCD-D2D66E0F185F}"/>
            </c:ext>
          </c:extLst>
        </c:ser>
        <c:ser>
          <c:idx val="1"/>
          <c:order val="1"/>
          <c:tx>
            <c:strRef>
              <c:f>'6. Chart Data'!$C$31</c:f>
              <c:strCache>
                <c:ptCount val="1"/>
                <c:pt idx="0">
                  <c:v>r</c:v>
                </c:pt>
              </c:strCache>
            </c:strRef>
          </c:tx>
          <c:spPr>
            <a:solidFill>
              <a:srgbClr val="9BBB59"/>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Data'!$A$32:$A$41</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Data'!$C$32:$C$41</c:f>
              <c:numCache>
                <c:formatCode>0.000</c:formatCode>
                <c:ptCount val="10"/>
                <c:pt idx="0">
                  <c:v>0.77</c:v>
                </c:pt>
                <c:pt idx="1">
                  <c:v>0.71599999999999997</c:v>
                </c:pt>
                <c:pt idx="2">
                  <c:v>0.752</c:v>
                </c:pt>
                <c:pt idx="3">
                  <c:v>0.78400000000000003</c:v>
                </c:pt>
                <c:pt idx="4">
                  <c:v>0.82599999999999996</c:v>
                </c:pt>
                <c:pt idx="5">
                  <c:v>0.77</c:v>
                </c:pt>
                <c:pt idx="6">
                  <c:v>0.77</c:v>
                </c:pt>
                <c:pt idx="7">
                  <c:v>0.77</c:v>
                </c:pt>
                <c:pt idx="8">
                  <c:v>0.82499999999999996</c:v>
                </c:pt>
                <c:pt idx="9">
                  <c:v>0.57599999999999996</c:v>
                </c:pt>
              </c:numCache>
            </c:numRef>
          </c:val>
          <c:extLst>
            <c:ext xmlns:c16="http://schemas.microsoft.com/office/drawing/2014/chart" uri="{C3380CC4-5D6E-409C-BE32-E72D297353CC}">
              <c16:uniqueId val="{00000001-F9A5-4BA8-ABCD-D2D66E0F185F}"/>
            </c:ext>
          </c:extLst>
        </c:ser>
        <c:ser>
          <c:idx val="2"/>
          <c:order val="2"/>
          <c:tx>
            <c:strRef>
              <c:f>'6. Chart Data'!$D$31</c:f>
              <c:strCache>
                <c:ptCount val="1"/>
                <c:pt idx="0">
                  <c:v>PF</c:v>
                </c:pt>
              </c:strCache>
            </c:strRef>
          </c:tx>
          <c:spPr>
            <a:solidFill>
              <a:srgbClr val="C5D6AC"/>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Data'!$A$32:$A$41</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Data'!$D$32:$D$41</c:f>
              <c:numCache>
                <c:formatCode>0.00</c:formatCode>
                <c:ptCount val="10"/>
                <c:pt idx="0">
                  <c:v>6.3</c:v>
                </c:pt>
                <c:pt idx="1">
                  <c:v>6.5</c:v>
                </c:pt>
                <c:pt idx="2">
                  <c:v>2.5</c:v>
                </c:pt>
                <c:pt idx="3">
                  <c:v>2.21</c:v>
                </c:pt>
                <c:pt idx="4">
                  <c:v>2.5</c:v>
                </c:pt>
                <c:pt idx="5">
                  <c:v>30</c:v>
                </c:pt>
                <c:pt idx="6">
                  <c:v>2.5</c:v>
                </c:pt>
                <c:pt idx="7">
                  <c:v>4.5</c:v>
                </c:pt>
                <c:pt idx="8">
                  <c:v>2.5</c:v>
                </c:pt>
                <c:pt idx="9">
                  <c:v>2.5</c:v>
                </c:pt>
              </c:numCache>
            </c:numRef>
          </c:val>
          <c:extLst>
            <c:ext xmlns:c16="http://schemas.microsoft.com/office/drawing/2014/chart" uri="{C3380CC4-5D6E-409C-BE32-E72D297353CC}">
              <c16:uniqueId val="{00000002-F9A5-4BA8-ABCD-D2D66E0F185F}"/>
            </c:ext>
          </c:extLst>
        </c:ser>
        <c:dLbls>
          <c:showLegendKey val="0"/>
          <c:showVal val="0"/>
          <c:showCatName val="0"/>
          <c:showSerName val="0"/>
          <c:showPercent val="0"/>
          <c:showBubbleSize val="0"/>
        </c:dLbls>
        <c:gapWidth val="150"/>
        <c:axId val="58713589"/>
        <c:axId val="57425586"/>
      </c:barChart>
      <c:catAx>
        <c:axId val="5871358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7425586"/>
        <c:crosses val="autoZero"/>
        <c:auto val="1"/>
        <c:lblAlgn val="ctr"/>
        <c:lblOffset val="100"/>
        <c:noMultiLvlLbl val="0"/>
      </c:catAx>
      <c:valAx>
        <c:axId val="5742558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Factor value</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87135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4b — Household-equivalent water use per facility</a:t>
            </a:r>
          </a:p>
        </c:rich>
      </c:tx>
      <c:overlay val="0"/>
      <c:spPr>
        <a:noFill/>
        <a:ln w="0">
          <a:noFill/>
        </a:ln>
      </c:spPr>
    </c:title>
    <c:autoTitleDeleted val="0"/>
    <c:plotArea>
      <c:layout/>
      <c:barChart>
        <c:barDir val="bar"/>
        <c:grouping val="clustered"/>
        <c:varyColors val="0"/>
        <c:ser>
          <c:idx val="0"/>
          <c:order val="0"/>
          <c:tx>
            <c:strRef>
              <c:f>'6. Chart Data'!$C$18</c:f>
              <c:strCache>
                <c:ptCount val="1"/>
                <c:pt idx="0">
                  <c:v>Household equivalent</c:v>
                </c:pt>
              </c:strCache>
            </c:strRef>
          </c:tx>
          <c:spPr>
            <a:solidFill>
              <a:srgbClr val="8064A2"/>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'6. Chart Data'!$A$19:$A$28</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'6. Chart Data'!$C$19:$C$28</c:f>
              <c:numCache>
                <c:formatCode>#,##0</c:formatCode>
                <c:ptCount val="10"/>
                <c:pt idx="0">
                  <c:v>3261.1313997702609</c:v>
                </c:pt>
                <c:pt idx="1">
                  <c:v>9219.5793535938246</c:v>
                </c:pt>
                <c:pt idx="2">
                  <c:v>7609.6015436565349</c:v>
                </c:pt>
                <c:pt idx="3">
                  <c:v>3300.7042932947415</c:v>
                </c:pt>
                <c:pt idx="4">
                  <c:v>3348.4278822961887</c:v>
                </c:pt>
                <c:pt idx="5">
                  <c:v>59.059859995839354</c:v>
                </c:pt>
                <c:pt idx="6">
                  <c:v>5135.6399996382052</c:v>
                </c:pt>
                <c:pt idx="7">
                  <c:v>2567.8199998191026</c:v>
                </c:pt>
                <c:pt idx="8">
                  <c:v>1664.7250361794497</c:v>
                </c:pt>
                <c:pt idx="9">
                  <c:v>1893.1866859623731</c:v>
                </c:pt>
              </c:numCache>
            </c:numRef>
          </c:val>
          <c:extLst>
            <c:ext xmlns:c16="http://schemas.microsoft.com/office/drawing/2014/chart" uri="{C3380CC4-5D6E-409C-BE32-E72D297353CC}">
              <c16:uniqueId val="{00000000-1D9E-4DA6-BB81-F3E0CF18462B}"/>
            </c:ext>
          </c:extLst>
        </c:ser>
        <c:dLbls>
          <c:showLegendKey val="0"/>
          <c:showVal val="0"/>
          <c:showCatName val="0"/>
          <c:showSerName val="0"/>
          <c:showPercent val="0"/>
          <c:showBubbleSize val="0"/>
        </c:dLbls>
        <c:gapWidth val="150"/>
        <c:axId val="57495931"/>
        <c:axId val="75423043"/>
      </c:barChart>
      <c:catAx>
        <c:axId val="57495931"/>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Equivalent US households (annual water)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5423043"/>
        <c:crosses val="autoZero"/>
        <c:auto val="1"/>
        <c:lblAlgn val="ctr"/>
        <c:lblOffset val="100"/>
        <c:noMultiLvlLbl val="0"/>
      </c:catAx>
      <c:valAx>
        <c:axId val="75423043"/>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749593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5b — WCI trajectories, 13% CAGR scenario</a:t>
            </a:r>
          </a:p>
        </c:rich>
      </c:tx>
      <c:overlay val="0"/>
      <c:spPr>
        <a:noFill/>
        <a:ln w="0">
          <a:noFill/>
        </a:ln>
      </c:spPr>
    </c:title>
    <c:autoTitleDeleted val="0"/>
    <c:plotArea>
      <c:layout/>
      <c:lineChart>
        <c:grouping val="standard"/>
        <c:varyColors val="0"/>
        <c:ser>
          <c:idx val="0"/>
          <c:order val="0"/>
          <c:tx>
            <c:strRef>
              <c:f>'6. Chart Data'!$A$45</c:f>
              <c:strCache>
                <c:ptCount val="1"/>
                <c:pt idx="0">
                  <c:v>Lebanon</c:v>
                </c:pt>
              </c:strCache>
            </c:strRef>
          </c:tx>
          <c:spPr>
            <a:ln w="21960">
              <a:solidFill>
                <a:srgbClr val="E41A1C"/>
              </a:solidFill>
              <a:round/>
            </a:ln>
          </c:spPr>
          <c:marker>
            <c:symbol val="circle"/>
            <c:size val="6"/>
            <c:spPr>
              <a:solidFill>
                <a:srgbClr val="E41A1C"/>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Data'!$B$45:$M$45</c:f>
              <c:numCache>
                <c:formatCode>0.0%;\(0.0%\);\-</c:formatCode>
                <c:ptCount val="12"/>
                <c:pt idx="0">
                  <c:v>1.3392978260869566</c:v>
                </c:pt>
                <c:pt idx="1">
                  <c:v>1.5134065434782609</c:v>
                </c:pt>
                <c:pt idx="2">
                  <c:v>1.7101493941304344</c:v>
                </c:pt>
                <c:pt idx="3">
                  <c:v>1.9324688153673906</c:v>
                </c:pt>
                <c:pt idx="4">
                  <c:v>2.1836897613651511</c:v>
                </c:pt>
                <c:pt idx="5">
                  <c:v>2.4675694303426208</c:v>
                </c:pt>
                <c:pt idx="6">
                  <c:v>2.7883534562871608</c:v>
                </c:pt>
                <c:pt idx="7">
                  <c:v>3.1508394056044913</c:v>
                </c:pt>
                <c:pt idx="8">
                  <c:v>3.5604485283330751</c:v>
                </c:pt>
                <c:pt idx="9">
                  <c:v>4.0233068370163743</c:v>
                </c:pt>
                <c:pt idx="10">
                  <c:v>4.5463367258285023</c:v>
                </c:pt>
                <c:pt idx="11">
                  <c:v>5.1373605001862073</c:v>
                </c:pt>
              </c:numCache>
            </c:numRef>
          </c:val>
          <c:smooth val="0"/>
          <c:extLst>
            <c:ext xmlns:c16="http://schemas.microsoft.com/office/drawing/2014/chart" uri="{C3380CC4-5D6E-409C-BE32-E72D297353CC}">
              <c16:uniqueId val="{00000000-D321-4744-B046-83E21418252F}"/>
            </c:ext>
          </c:extLst>
        </c:ser>
        <c:ser>
          <c:idx val="1"/>
          <c:order val="1"/>
          <c:tx>
            <c:strRef>
              <c:f>'6. Chart Data'!$A$46</c:f>
              <c:strCache>
                <c:ptCount val="1"/>
                <c:pt idx="0">
                  <c:v>Council Bluffs</c:v>
                </c:pt>
              </c:strCache>
            </c:strRef>
          </c:tx>
          <c:spPr>
            <a:ln w="21960">
              <a:solidFill>
                <a:srgbClr val="377EB8"/>
              </a:solidFill>
              <a:round/>
            </a:ln>
          </c:spPr>
          <c:marker>
            <c:symbol val="circle"/>
            <c:size val="6"/>
            <c:spPr>
              <a:solidFill>
                <a:srgbClr val="377EB8"/>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Data'!$B$46:$M$46</c:f>
              <c:numCache>
                <c:formatCode>0.0%;\(0.0%\);\-</c:formatCode>
                <c:ptCount val="12"/>
                <c:pt idx="0">
                  <c:v>0.59900349541618747</c:v>
                </c:pt>
                <c:pt idx="1">
                  <c:v>0.67687394982029181</c:v>
                </c:pt>
                <c:pt idx="2">
                  <c:v>0.76486756329692962</c:v>
                </c:pt>
                <c:pt idx="3">
                  <c:v>0.86430034652553034</c:v>
                </c:pt>
                <c:pt idx="4">
                  <c:v>0.97665939157384918</c:v>
                </c:pt>
                <c:pt idx="5">
                  <c:v>1.1036251124784495</c:v>
                </c:pt>
                <c:pt idx="6">
                  <c:v>1.2470963771006476</c:v>
                </c:pt>
                <c:pt idx="7">
                  <c:v>1.4092189061237317</c:v>
                </c:pt>
                <c:pt idx="8">
                  <c:v>1.5924173639198167</c:v>
                </c:pt>
                <c:pt idx="9">
                  <c:v>1.7994316212293928</c:v>
                </c:pt>
                <c:pt idx="10">
                  <c:v>2.0333577319892138</c:v>
                </c:pt>
                <c:pt idx="11">
                  <c:v>2.2976942371478111</c:v>
                </c:pt>
              </c:numCache>
            </c:numRef>
          </c:val>
          <c:smooth val="0"/>
          <c:extLst>
            <c:ext xmlns:c16="http://schemas.microsoft.com/office/drawing/2014/chart" uri="{C3380CC4-5D6E-409C-BE32-E72D297353CC}">
              <c16:uniqueId val="{00000001-D321-4744-B046-83E21418252F}"/>
            </c:ext>
          </c:extLst>
        </c:ser>
        <c:ser>
          <c:idx val="2"/>
          <c:order val="2"/>
          <c:tx>
            <c:strRef>
              <c:f>'6. Chart Data'!$A$47</c:f>
              <c:strCache>
                <c:ptCount val="1"/>
                <c:pt idx="0">
                  <c:v>Mayes County</c:v>
                </c:pt>
              </c:strCache>
            </c:strRef>
          </c:tx>
          <c:spPr>
            <a:ln w="21960">
              <a:solidFill>
                <a:srgbClr val="4DAF4A"/>
              </a:solidFill>
              <a:round/>
            </a:ln>
          </c:spPr>
          <c:marker>
            <c:symbol val="circle"/>
            <c:size val="6"/>
            <c:spPr>
              <a:solidFill>
                <a:srgbClr val="4DAF4A"/>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Data'!$B$47:$M$47</c:f>
              <c:numCache>
                <c:formatCode>0.0%;\(0.0%\);\-</c:formatCode>
                <c:ptCount val="12"/>
                <c:pt idx="0">
                  <c:v>0.57046377754557498</c:v>
                </c:pt>
                <c:pt idx="1">
                  <c:v>0.64462406862649968</c:v>
                </c:pt>
                <c:pt idx="2">
                  <c:v>0.72842519754794455</c:v>
                </c:pt>
                <c:pt idx="3">
                  <c:v>0.82312047322917714</c:v>
                </c:pt>
                <c:pt idx="4">
                  <c:v>0.9301261347489701</c:v>
                </c:pt>
                <c:pt idx="5">
                  <c:v>1.0510425322663361</c:v>
                </c:pt>
                <c:pt idx="6">
                  <c:v>1.1876780614609597</c:v>
                </c:pt>
                <c:pt idx="7">
                  <c:v>1.3420762094508842</c:v>
                </c:pt>
                <c:pt idx="8">
                  <c:v>1.5165461166794991</c:v>
                </c:pt>
                <c:pt idx="9">
                  <c:v>1.7136971118478339</c:v>
                </c:pt>
                <c:pt idx="10">
                  <c:v>1.9364777363880521</c:v>
                </c:pt>
                <c:pt idx="11">
                  <c:v>2.1882198421184982</c:v>
                </c:pt>
              </c:numCache>
            </c:numRef>
          </c:val>
          <c:smooth val="0"/>
          <c:extLst>
            <c:ext xmlns:c16="http://schemas.microsoft.com/office/drawing/2014/chart" uri="{C3380CC4-5D6E-409C-BE32-E72D297353CC}">
              <c16:uniqueId val="{00000002-D321-4744-B046-83E21418252F}"/>
            </c:ext>
          </c:extLst>
        </c:ser>
        <c:ser>
          <c:idx val="3"/>
          <c:order val="3"/>
          <c:tx>
            <c:strRef>
              <c:f>'6. Chart Data'!$A$48</c:f>
              <c:strCache>
                <c:ptCount val="1"/>
                <c:pt idx="0">
                  <c:v>The Dalles</c:v>
                </c:pt>
              </c:strCache>
            </c:strRef>
          </c:tx>
          <c:spPr>
            <a:ln w="21960">
              <a:solidFill>
                <a:srgbClr val="984EA3"/>
              </a:solidFill>
              <a:round/>
            </a:ln>
          </c:spPr>
          <c:marker>
            <c:symbol val="circle"/>
            <c:size val="6"/>
            <c:spPr>
              <a:solidFill>
                <a:srgbClr val="984EA3"/>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Data'!$B$48:$M$48</c:f>
              <c:numCache>
                <c:formatCode>0.0%;\(0.0%\);\-</c:formatCode>
                <c:ptCount val="12"/>
                <c:pt idx="0">
                  <c:v>0.48608534314843405</c:v>
                </c:pt>
                <c:pt idx="1">
                  <c:v>0.54927643775773038</c:v>
                </c:pt>
                <c:pt idx="2">
                  <c:v>0.62068237466623533</c:v>
                </c:pt>
                <c:pt idx="3">
                  <c:v>0.70137108337284582</c:v>
                </c:pt>
                <c:pt idx="4">
                  <c:v>0.79254932421131563</c:v>
                </c:pt>
                <c:pt idx="5">
                  <c:v>0.89558073635878654</c:v>
                </c:pt>
                <c:pt idx="6">
                  <c:v>1.0120062320854286</c:v>
                </c:pt>
                <c:pt idx="7">
                  <c:v>1.1435670422565343</c:v>
                </c:pt>
                <c:pt idx="8">
                  <c:v>1.2922307577498837</c:v>
                </c:pt>
                <c:pt idx="9">
                  <c:v>1.4602207562573684</c:v>
                </c:pt>
                <c:pt idx="10">
                  <c:v>1.650049454570826</c:v>
                </c:pt>
                <c:pt idx="11">
                  <c:v>1.8645558836650331</c:v>
                </c:pt>
              </c:numCache>
            </c:numRef>
          </c:val>
          <c:smooth val="0"/>
          <c:extLst>
            <c:ext xmlns:c16="http://schemas.microsoft.com/office/drawing/2014/chart" uri="{C3380CC4-5D6E-409C-BE32-E72D297353CC}">
              <c16:uniqueId val="{00000003-D321-4744-B046-83E21418252F}"/>
            </c:ext>
          </c:extLst>
        </c:ser>
        <c:ser>
          <c:idx val="4"/>
          <c:order val="4"/>
          <c:tx>
            <c:strRef>
              <c:f>'6. Chart Data'!$A$49</c:f>
              <c:strCache>
                <c:ptCount val="1"/>
                <c:pt idx="0">
                  <c:v>Douglas County</c:v>
                </c:pt>
              </c:strCache>
            </c:strRef>
          </c:tx>
          <c:spPr>
            <a:ln w="21960">
              <a:solidFill>
                <a:srgbClr val="FF7F00"/>
              </a:solidFill>
              <a:round/>
            </a:ln>
          </c:spPr>
          <c:marker>
            <c:symbol val="circle"/>
            <c:size val="6"/>
            <c:spPr>
              <a:solidFill>
                <a:srgbClr val="FF7F00"/>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Data'!$B$49:$M$49</c:f>
              <c:numCache>
                <c:formatCode>0.0%;\(0.0%\);\-</c:formatCode>
                <c:ptCount val="12"/>
                <c:pt idx="0">
                  <c:v>0.31377411938308813</c:v>
                </c:pt>
                <c:pt idx="1">
                  <c:v>0.35456475490288958</c:v>
                </c:pt>
                <c:pt idx="2">
                  <c:v>0.40065817304026513</c:v>
                </c:pt>
                <c:pt idx="3">
                  <c:v>0.45274373553549951</c:v>
                </c:pt>
                <c:pt idx="4">
                  <c:v>0.51160042115511439</c:v>
                </c:pt>
                <c:pt idx="5">
                  <c:v>0.57810847590527925</c:v>
                </c:pt>
                <c:pt idx="6">
                  <c:v>0.65326257777296537</c:v>
                </c:pt>
                <c:pt idx="7">
                  <c:v>0.73818671288345084</c:v>
                </c:pt>
                <c:pt idx="8">
                  <c:v>0.83415098555829947</c:v>
                </c:pt>
                <c:pt idx="9">
                  <c:v>0.94259061368087826</c:v>
                </c:pt>
                <c:pt idx="10">
                  <c:v>1.0651273934593923</c:v>
                </c:pt>
                <c:pt idx="11">
                  <c:v>1.2035939546091132</c:v>
                </c:pt>
              </c:numCache>
            </c:numRef>
          </c:val>
          <c:smooth val="0"/>
          <c:extLst>
            <c:ext xmlns:c16="http://schemas.microsoft.com/office/drawing/2014/chart" uri="{C3380CC4-5D6E-409C-BE32-E72D297353CC}">
              <c16:uniqueId val="{00000004-D321-4744-B046-83E21418252F}"/>
            </c:ext>
          </c:extLst>
        </c:ser>
        <c:ser>
          <c:idx val="5"/>
          <c:order val="5"/>
          <c:tx>
            <c:strRef>
              <c:f>'6. Chart Data'!$A$50</c:f>
              <c:strCache>
                <c:ptCount val="1"/>
                <c:pt idx="0">
                  <c:v>Wisconsin Site</c:v>
                </c:pt>
              </c:strCache>
            </c:strRef>
          </c:tx>
          <c:spPr>
            <a:ln w="21960">
              <a:solidFill>
                <a:srgbClr val="A65628"/>
              </a:solidFill>
              <a:round/>
            </a:ln>
          </c:spPr>
          <c:marker>
            <c:symbol val="circle"/>
            <c:size val="6"/>
            <c:spPr>
              <a:solidFill>
                <a:srgbClr val="A65628"/>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Data'!$B$50:$M$50</c:f>
              <c:numCache>
                <c:formatCode>0.0%;\(0.0%\);\-</c:formatCode>
                <c:ptCount val="12"/>
                <c:pt idx="0">
                  <c:v>0.26565</c:v>
                </c:pt>
                <c:pt idx="1">
                  <c:v>0.30018449999999997</c:v>
                </c:pt>
                <c:pt idx="2">
                  <c:v>0.33920848499999989</c:v>
                </c:pt>
                <c:pt idx="3">
                  <c:v>0.38330558804999987</c:v>
                </c:pt>
                <c:pt idx="4">
                  <c:v>0.43313531449649978</c:v>
                </c:pt>
                <c:pt idx="5">
                  <c:v>0.48944290538104468</c:v>
                </c:pt>
                <c:pt idx="6">
                  <c:v>0.55307048308058038</c:v>
                </c:pt>
                <c:pt idx="7">
                  <c:v>0.62496964588105586</c:v>
                </c:pt>
                <c:pt idx="8">
                  <c:v>0.70621569984559307</c:v>
                </c:pt>
                <c:pt idx="9">
                  <c:v>0.79802374082552008</c:v>
                </c:pt>
                <c:pt idx="10">
                  <c:v>0.90176682713283751</c:v>
                </c:pt>
                <c:pt idx="11">
                  <c:v>1.0189965146601063</c:v>
                </c:pt>
              </c:numCache>
            </c:numRef>
          </c:val>
          <c:smooth val="0"/>
          <c:extLst>
            <c:ext xmlns:c16="http://schemas.microsoft.com/office/drawing/2014/chart" uri="{C3380CC4-5D6E-409C-BE32-E72D297353CC}">
              <c16:uniqueId val="{00000005-D321-4744-B046-83E21418252F}"/>
            </c:ext>
          </c:extLst>
        </c:ser>
        <c:ser>
          <c:idx val="6"/>
          <c:order val="6"/>
          <c:tx>
            <c:strRef>
              <c:f>'6. Chart Data'!$A$51</c:f>
              <c:strCache>
                <c:ptCount val="1"/>
                <c:pt idx="0">
                  <c:v>Botetourt County</c:v>
                </c:pt>
              </c:strCache>
            </c:strRef>
          </c:tx>
          <c:spPr>
            <a:ln w="21960">
              <a:solidFill>
                <a:srgbClr val="F781BF"/>
              </a:solidFill>
              <a:round/>
            </a:ln>
          </c:spPr>
          <c:marker>
            <c:symbol val="circle"/>
            <c:size val="6"/>
            <c:spPr>
              <a:solidFill>
                <a:srgbClr val="F781BF"/>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Data'!$B$51:$M$51</c:f>
              <c:numCache>
                <c:formatCode>0.0%;\(0.0%\);\-</c:formatCode>
                <c:ptCount val="12"/>
                <c:pt idx="0">
                  <c:v>0.13750000000000001</c:v>
                </c:pt>
                <c:pt idx="1">
                  <c:v>0.15537499999999999</c:v>
                </c:pt>
                <c:pt idx="2">
                  <c:v>0.17557374999999997</c:v>
                </c:pt>
                <c:pt idx="3">
                  <c:v>0.19839833749999994</c:v>
                </c:pt>
                <c:pt idx="4">
                  <c:v>0.22419012137499991</c:v>
                </c:pt>
                <c:pt idx="5">
                  <c:v>0.25333483715374988</c:v>
                </c:pt>
                <c:pt idx="6">
                  <c:v>0.28626836598373728</c:v>
                </c:pt>
                <c:pt idx="7">
                  <c:v>0.32348325356162311</c:v>
                </c:pt>
                <c:pt idx="8">
                  <c:v>0.3655360765246341</c:v>
                </c:pt>
                <c:pt idx="9">
                  <c:v>0.41305576647283654</c:v>
                </c:pt>
                <c:pt idx="10">
                  <c:v>0.4667530161143052</c:v>
                </c:pt>
                <c:pt idx="11">
                  <c:v>0.52743090820916483</c:v>
                </c:pt>
              </c:numCache>
            </c:numRef>
          </c:val>
          <c:smooth val="0"/>
          <c:extLst>
            <c:ext xmlns:c16="http://schemas.microsoft.com/office/drawing/2014/chart" uri="{C3380CC4-5D6E-409C-BE32-E72D297353CC}">
              <c16:uniqueId val="{00000006-D321-4744-B046-83E21418252F}"/>
            </c:ext>
          </c:extLst>
        </c:ser>
        <c:ser>
          <c:idx val="7"/>
          <c:order val="7"/>
          <c:tx>
            <c:strRef>
              <c:f>'6. Chart Data'!$A$52</c:f>
              <c:strCache>
                <c:ptCount val="1"/>
                <c:pt idx="0">
                  <c:v>Memphis</c:v>
                </c:pt>
              </c:strCache>
            </c:strRef>
          </c:tx>
          <c:spPr>
            <a:ln w="21960">
              <a:solidFill>
                <a:srgbClr val="999999"/>
              </a:solidFill>
              <a:round/>
            </a:ln>
          </c:spPr>
          <c:marker>
            <c:symbol val="circle"/>
            <c:size val="6"/>
            <c:spPr>
              <a:solidFill>
                <a:srgbClr val="999999"/>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Data'!$B$52:$M$52</c:f>
              <c:numCache>
                <c:formatCode>0.0%;\(0.0%\);\-</c:formatCode>
                <c:ptCount val="12"/>
                <c:pt idx="0">
                  <c:v>1.3430232558139535E-2</c:v>
                </c:pt>
                <c:pt idx="1">
                  <c:v>1.5176162790697672E-2</c:v>
                </c:pt>
                <c:pt idx="2">
                  <c:v>1.7149063953488367E-2</c:v>
                </c:pt>
                <c:pt idx="3">
                  <c:v>1.9378442267441853E-2</c:v>
                </c:pt>
                <c:pt idx="4">
                  <c:v>2.1897639762209292E-2</c:v>
                </c:pt>
                <c:pt idx="5">
                  <c:v>2.4744332931296496E-2</c:v>
                </c:pt>
                <c:pt idx="6">
                  <c:v>2.7961096212365037E-2</c:v>
                </c:pt>
                <c:pt idx="7">
                  <c:v>3.1596038719972491E-2</c:v>
                </c:pt>
                <c:pt idx="8">
                  <c:v>3.570352375356891E-2</c:v>
                </c:pt>
                <c:pt idx="9">
                  <c:v>4.0344981841532866E-2</c:v>
                </c:pt>
                <c:pt idx="10">
                  <c:v>4.5589829480932133E-2</c:v>
                </c:pt>
                <c:pt idx="11">
                  <c:v>5.1516507313453301E-2</c:v>
                </c:pt>
              </c:numCache>
            </c:numRef>
          </c:val>
          <c:smooth val="0"/>
          <c:extLst>
            <c:ext xmlns:c16="http://schemas.microsoft.com/office/drawing/2014/chart" uri="{C3380CC4-5D6E-409C-BE32-E72D297353CC}">
              <c16:uniqueId val="{00000007-D321-4744-B046-83E21418252F}"/>
            </c:ext>
          </c:extLst>
        </c:ser>
        <c:ser>
          <c:idx val="8"/>
          <c:order val="8"/>
          <c:tx>
            <c:strRef>
              <c:f>'6. Chart Data'!$A$53</c:f>
              <c:strCache>
                <c:ptCount val="1"/>
                <c:pt idx="0">
                  <c:v>Midlothian</c:v>
                </c:pt>
              </c:strCache>
            </c:strRef>
          </c:tx>
          <c:spPr>
            <a:ln w="21960">
              <a:solidFill>
                <a:srgbClr val="66C2A5"/>
              </a:solidFill>
              <a:round/>
            </a:ln>
          </c:spPr>
          <c:marker>
            <c:symbol val="circle"/>
            <c:size val="6"/>
            <c:spPr>
              <a:solidFill>
                <a:srgbClr val="66C2A5"/>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Data'!$B$53:$M$53</c:f>
              <c:numCache>
                <c:formatCode>0.0%;\(0.0%\);\-</c:formatCode>
                <c:ptCount val="12"/>
                <c:pt idx="0">
                  <c:v>3.466619431259025E-2</c:v>
                </c:pt>
                <c:pt idx="1">
                  <c:v>3.9172799573226981E-2</c:v>
                </c:pt>
                <c:pt idx="2">
                  <c:v>4.4265263517746477E-2</c:v>
                </c:pt>
                <c:pt idx="3">
                  <c:v>5.0019747775053511E-2</c:v>
                </c:pt>
                <c:pt idx="4">
                  <c:v>5.6522314985810465E-2</c:v>
                </c:pt>
                <c:pt idx="5">
                  <c:v>6.3870215933965815E-2</c:v>
                </c:pt>
                <c:pt idx="6">
                  <c:v>7.2173344005381362E-2</c:v>
                </c:pt>
                <c:pt idx="7">
                  <c:v>8.155587872608093E-2</c:v>
                </c:pt>
                <c:pt idx="8">
                  <c:v>9.2158142960471451E-2</c:v>
                </c:pt>
                <c:pt idx="9">
                  <c:v>0.10413870154533272</c:v>
                </c:pt>
                <c:pt idx="10">
                  <c:v>0.11767673274622596</c:v>
                </c:pt>
                <c:pt idx="11">
                  <c:v>0.13297470800323533</c:v>
                </c:pt>
              </c:numCache>
            </c:numRef>
          </c:val>
          <c:smooth val="0"/>
          <c:extLst>
            <c:ext xmlns:c16="http://schemas.microsoft.com/office/drawing/2014/chart" uri="{C3380CC4-5D6E-409C-BE32-E72D297353CC}">
              <c16:uniqueId val="{00000008-D321-4744-B046-83E21418252F}"/>
            </c:ext>
          </c:extLst>
        </c:ser>
        <c:ser>
          <c:idx val="9"/>
          <c:order val="9"/>
          <c:tx>
            <c:strRef>
              <c:f>'6. Chart Data'!$A$54</c:f>
              <c:strCache>
                <c:ptCount val="1"/>
                <c:pt idx="0">
                  <c:v>Henderson</c:v>
                </c:pt>
              </c:strCache>
            </c:strRef>
          </c:tx>
          <c:spPr>
            <a:ln w="21960">
              <a:solidFill>
                <a:srgbClr val="FC8D62"/>
              </a:solidFill>
              <a:round/>
            </a:ln>
          </c:spPr>
          <c:marker>
            <c:symbol val="circle"/>
            <c:size val="6"/>
            <c:spPr>
              <a:solidFill>
                <a:srgbClr val="FC8D62"/>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'6. Chart Data'!$B$44:$M$44</c:f>
              <c:numCache>
                <c:formatCode>0</c:formatCode>
                <c:ptCount val="12"/>
                <c:pt idx="0">
                  <c:v>2024</c:v>
                </c:pt>
                <c:pt idx="1">
                  <c:v>2025</c:v>
                </c:pt>
                <c:pt idx="2">
                  <c:v>2026</c:v>
                </c:pt>
                <c:pt idx="3">
                  <c:v>2027</c:v>
                </c:pt>
                <c:pt idx="4">
                  <c:v>2028</c:v>
                </c:pt>
                <c:pt idx="5">
                  <c:v>2029</c:v>
                </c:pt>
                <c:pt idx="6">
                  <c:v>2030</c:v>
                </c:pt>
                <c:pt idx="7">
                  <c:v>2031</c:v>
                </c:pt>
                <c:pt idx="8">
                  <c:v>2032</c:v>
                </c:pt>
                <c:pt idx="9">
                  <c:v>2033</c:v>
                </c:pt>
                <c:pt idx="10">
                  <c:v>2034</c:v>
                </c:pt>
                <c:pt idx="11">
                  <c:v>2035</c:v>
                </c:pt>
              </c:numCache>
            </c:numRef>
          </c:cat>
          <c:val>
            <c:numRef>
              <c:f>'6. Chart Data'!$B$54:$M$54</c:f>
              <c:numCache>
                <c:formatCode>0.0%;\(0.0%\);\-</c:formatCode>
                <c:ptCount val="12"/>
                <c:pt idx="0">
                  <c:v>1.5769469696016712E-3</c:v>
                </c:pt>
                <c:pt idx="1">
                  <c:v>1.7819500756498883E-3</c:v>
                </c:pt>
                <c:pt idx="2">
                  <c:v>2.0136035854843733E-3</c:v>
                </c:pt>
                <c:pt idx="3">
                  <c:v>2.2753720515973417E-3</c:v>
                </c:pt>
                <c:pt idx="4">
                  <c:v>2.5711704183049959E-3</c:v>
                </c:pt>
                <c:pt idx="5">
                  <c:v>2.9054225726846449E-3</c:v>
                </c:pt>
                <c:pt idx="6">
                  <c:v>3.2831275071336483E-3</c:v>
                </c:pt>
                <c:pt idx="7">
                  <c:v>3.7099340830610223E-3</c:v>
                </c:pt>
                <c:pt idx="8">
                  <c:v>4.1922255138589553E-3</c:v>
                </c:pt>
                <c:pt idx="9">
                  <c:v>4.7372148306606184E-3</c:v>
                </c:pt>
                <c:pt idx="10">
                  <c:v>5.3530527586464986E-3</c:v>
                </c:pt>
                <c:pt idx="11">
                  <c:v>6.0489496172705416E-3</c:v>
                </c:pt>
              </c:numCache>
            </c:numRef>
          </c:val>
          <c:smooth val="0"/>
          <c:extLst>
            <c:ext xmlns:c16="http://schemas.microsoft.com/office/drawing/2014/chart" uri="{C3380CC4-5D6E-409C-BE32-E72D297353CC}">
              <c16:uniqueId val="{00000009-D321-4744-B046-83E21418252F}"/>
            </c:ext>
          </c:extLst>
        </c:ser>
        <c:dLbls>
          <c:showLegendKey val="0"/>
          <c:showVal val="0"/>
          <c:showCatName val="0"/>
          <c:showSerName val="0"/>
          <c:showPercent val="0"/>
          <c:showBubbleSize val="0"/>
        </c:dLbls>
        <c:hiLowLines>
          <c:spPr>
            <a:ln w="0">
              <a:noFill/>
            </a:ln>
          </c:spPr>
        </c:hiLowLines>
        <c:marker val="1"/>
        <c:smooth val="0"/>
        <c:axId val="80562619"/>
        <c:axId val="71787148"/>
      </c:lineChart>
      <c:catAx>
        <c:axId val="80562619"/>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Year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1787148"/>
        <c:crosses val="autoZero"/>
        <c:auto val="1"/>
        <c:lblAlgn val="ctr"/>
        <c:lblOffset val="100"/>
        <c:noMultiLvlLbl val="0"/>
      </c:catAx>
      <c:valAx>
        <c:axId val="7178714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WCI (% of host capacity)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05626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Figure 5a — WCI reduction by policy lever</a:t>
            </a:r>
          </a:p>
        </c:rich>
      </c:tx>
      <c:overlay val="0"/>
      <c:spPr>
        <a:noFill/>
        <a:ln w="0">
          <a:noFill/>
        </a:ln>
      </c:spPr>
    </c:title>
    <c:autoTitleDeleted val="0"/>
    <c:plotArea>
      <c:layout/>
      <c:barChart>
        <c:barDir val="bar"/>
        <c:grouping val="clustered"/>
        <c:varyColors val="0"/>
        <c:ser>
          <c:idx val="0"/>
          <c:order val="0"/>
          <c:tx>
            <c:strRef>
              <c:f>'7. Policy Sensitivity'!$R$5</c:f>
              <c:strCache>
                <c:ptCount val="1"/>
                <c:pt idx="0">
                  <c:v>Siting Δ</c:v>
                </c:pt>
              </c:strCache>
            </c:strRef>
          </c:tx>
          <c:spPr>
            <a:solidFill>
              <a:srgbClr val="9F423F"/>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'7. Policy Sensitivity'!$Q$6:$Q$15</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'7. Policy Sensitivity'!$R$6:$R$15</c:f>
              <c:numCache>
                <c:formatCode>0.0%</c:formatCode>
                <c:ptCount val="10"/>
                <c:pt idx="0">
                  <c:v>0.25000000000000011</c:v>
                </c:pt>
                <c:pt idx="1">
                  <c:v>0.24999999999999994</c:v>
                </c:pt>
                <c:pt idx="2">
                  <c:v>0.25</c:v>
                </c:pt>
                <c:pt idx="3">
                  <c:v>0.24999999999999997</c:v>
                </c:pt>
                <c:pt idx="4">
                  <c:v>0.25000000000000011</c:v>
                </c:pt>
                <c:pt idx="5">
                  <c:v>0.24999999999999994</c:v>
                </c:pt>
                <c:pt idx="6">
                  <c:v>0.25</c:v>
                </c:pt>
                <c:pt idx="7">
                  <c:v>0.25</c:v>
                </c:pt>
                <c:pt idx="8">
                  <c:v>0.25000000000000017</c:v>
                </c:pt>
                <c:pt idx="9">
                  <c:v>0.25000000000000006</c:v>
                </c:pt>
              </c:numCache>
            </c:numRef>
          </c:val>
          <c:extLst>
            <c:ext xmlns:c16="http://schemas.microsoft.com/office/drawing/2014/chart" uri="{C3380CC4-5D6E-409C-BE32-E72D297353CC}">
              <c16:uniqueId val="{00000000-95C9-4786-92DF-CF92474B905F}"/>
            </c:ext>
          </c:extLst>
        </c:ser>
        <c:ser>
          <c:idx val="1"/>
          <c:order val="1"/>
          <c:tx>
            <c:strRef>
              <c:f>'7. Policy Sensitivity'!$S$5</c:f>
              <c:strCache>
                <c:ptCount val="1"/>
                <c:pt idx="0">
                  <c:v>Technology Δ</c:v>
                </c:pt>
              </c:strCache>
            </c:strRef>
          </c:tx>
          <c:spPr>
            <a:solidFill>
              <a:srgbClr val="C0504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'7. Policy Sensitivity'!$Q$6:$Q$15</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'7. Policy Sensitivity'!$S$6:$S$15</c:f>
              <c:numCache>
                <c:formatCode>0.0%</c:formatCode>
                <c:ptCount val="10"/>
                <c:pt idx="0">
                  <c:v>0.67532467532467533</c:v>
                </c:pt>
                <c:pt idx="1">
                  <c:v>0.65083798882681565</c:v>
                </c:pt>
                <c:pt idx="2">
                  <c:v>0.66755319148936176</c:v>
                </c:pt>
                <c:pt idx="3">
                  <c:v>0.68112244897959184</c:v>
                </c:pt>
                <c:pt idx="4">
                  <c:v>0.69733656174334135</c:v>
                </c:pt>
                <c:pt idx="5">
                  <c:v>0.67532467532467533</c:v>
                </c:pt>
                <c:pt idx="6">
                  <c:v>0.67532467532467544</c:v>
                </c:pt>
                <c:pt idx="7">
                  <c:v>0.67532467532467522</c:v>
                </c:pt>
                <c:pt idx="8">
                  <c:v>0.69696969696969702</c:v>
                </c:pt>
                <c:pt idx="9">
                  <c:v>0.56597222222222221</c:v>
                </c:pt>
              </c:numCache>
            </c:numRef>
          </c:val>
          <c:extLst>
            <c:ext xmlns:c16="http://schemas.microsoft.com/office/drawing/2014/chart" uri="{C3380CC4-5D6E-409C-BE32-E72D297353CC}">
              <c16:uniqueId val="{00000001-95C9-4786-92DF-CF92474B905F}"/>
            </c:ext>
          </c:extLst>
        </c:ser>
        <c:ser>
          <c:idx val="2"/>
          <c:order val="2"/>
          <c:tx>
            <c:strRef>
              <c:f>'7. Policy Sensitivity'!$T$5</c:f>
              <c:strCache>
                <c:ptCount val="1"/>
                <c:pt idx="0">
                  <c:v>Management Δ</c:v>
                </c:pt>
              </c:strCache>
            </c:strRef>
          </c:tx>
          <c:spPr>
            <a:solidFill>
              <a:srgbClr val="D8AAA9"/>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'7. Policy Sensitivity'!$Q$6:$Q$15</c:f>
              <c:strCache>
                <c:ptCount val="10"/>
                <c:pt idx="0">
                  <c:v>Lebanon</c:v>
                </c:pt>
                <c:pt idx="1">
                  <c:v>Council Bluffs</c:v>
                </c:pt>
                <c:pt idx="2">
                  <c:v>Mayes County</c:v>
                </c:pt>
                <c:pt idx="3">
                  <c:v>The Dalles</c:v>
                </c:pt>
                <c:pt idx="4">
                  <c:v>Douglas County</c:v>
                </c:pt>
                <c:pt idx="5">
                  <c:v>Wisconsin Site</c:v>
                </c:pt>
                <c:pt idx="6">
                  <c:v>Botetourt County</c:v>
                </c:pt>
                <c:pt idx="7">
                  <c:v>Memphis</c:v>
                </c:pt>
                <c:pt idx="8">
                  <c:v>Midlothian</c:v>
                </c:pt>
                <c:pt idx="9">
                  <c:v>Henderson</c:v>
                </c:pt>
              </c:strCache>
            </c:strRef>
          </c:cat>
          <c:val>
            <c:numRef>
              <c:f>'7. Policy Sensitivity'!$T$6:$T$15</c:f>
              <c:numCache>
                <c:formatCode>0.0%</c:formatCode>
                <c:ptCount val="10"/>
                <c:pt idx="0">
                  <c:v>0.68253968253968256</c:v>
                </c:pt>
                <c:pt idx="1">
                  <c:v>0.69230769230769229</c:v>
                </c:pt>
                <c:pt idx="2">
                  <c:v>0.20000000000000004</c:v>
                </c:pt>
                <c:pt idx="3">
                  <c:v>9.5022624434389094E-2</c:v>
                </c:pt>
                <c:pt idx="4">
                  <c:v>0.2</c:v>
                </c:pt>
                <c:pt idx="5">
                  <c:v>0.93333333333333335</c:v>
                </c:pt>
                <c:pt idx="6">
                  <c:v>0.20000000000000007</c:v>
                </c:pt>
                <c:pt idx="7">
                  <c:v>0.55555555555555558</c:v>
                </c:pt>
                <c:pt idx="8">
                  <c:v>0.20000000000000004</c:v>
                </c:pt>
                <c:pt idx="9">
                  <c:v>0.19999999999999998</c:v>
                </c:pt>
              </c:numCache>
            </c:numRef>
          </c:val>
          <c:extLst>
            <c:ext xmlns:c16="http://schemas.microsoft.com/office/drawing/2014/chart" uri="{C3380CC4-5D6E-409C-BE32-E72D297353CC}">
              <c16:uniqueId val="{00000002-95C9-4786-92DF-CF92474B905F}"/>
            </c:ext>
          </c:extLst>
        </c:ser>
        <c:dLbls>
          <c:showLegendKey val="0"/>
          <c:showVal val="0"/>
          <c:showCatName val="0"/>
          <c:showSerName val="0"/>
          <c:showPercent val="0"/>
          <c:showBubbleSize val="0"/>
        </c:dLbls>
        <c:gapWidth val="150"/>
        <c:axId val="80765608"/>
        <c:axId val="52586483"/>
      </c:barChart>
      <c:catAx>
        <c:axId val="80765608"/>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WCI reduction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586483"/>
        <c:crosses val="autoZero"/>
        <c:auto val="1"/>
        <c:lblAlgn val="ctr"/>
        <c:lblOffset val="100"/>
        <c:noMultiLvlLbl val="0"/>
      </c:catAx>
      <c:valAx>
        <c:axId val="52586483"/>
        <c:scaling>
          <c:orientation val="minMax"/>
        </c:scaling>
        <c:delete val="0"/>
        <c:axPos val="b"/>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076560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25</xdr:col>
      <xdr:colOff>471240</xdr:colOff>
      <xdr:row>20</xdr:row>
      <xdr:rowOff>111600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24</xdr:row>
      <xdr:rowOff>0</xdr:rowOff>
    </xdr:from>
    <xdr:to>
      <xdr:col>25</xdr:col>
      <xdr:colOff>471240</xdr:colOff>
      <xdr:row>42</xdr:row>
      <xdr:rowOff>44640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45</xdr:row>
      <xdr:rowOff>0</xdr:rowOff>
    </xdr:from>
    <xdr:to>
      <xdr:col>26</xdr:col>
      <xdr:colOff>579600</xdr:colOff>
      <xdr:row>63</xdr:row>
      <xdr:rowOff>168480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66</xdr:row>
      <xdr:rowOff>0</xdr:rowOff>
    </xdr:from>
    <xdr:to>
      <xdr:col>25</xdr:col>
      <xdr:colOff>471240</xdr:colOff>
      <xdr:row>84</xdr:row>
      <xdr:rowOff>168480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87</xdr:row>
      <xdr:rowOff>0</xdr:rowOff>
    </xdr:from>
    <xdr:to>
      <xdr:col>26</xdr:col>
      <xdr:colOff>580320</xdr:colOff>
      <xdr:row>109</xdr:row>
      <xdr:rowOff>127440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17</xdr:row>
      <xdr:rowOff>0</xdr:rowOff>
    </xdr:from>
    <xdr:to>
      <xdr:col>26</xdr:col>
      <xdr:colOff>91440</xdr:colOff>
      <xdr:row>34</xdr:row>
      <xdr:rowOff>147240</xdr:rowOff>
    </xdr:to>
    <xdr:graphicFrame macro="">
      <xdr:nvGraphicFramePr>
        <xdr:cNvPr id="6" name="Chart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
  <sheetViews>
    <sheetView showGridLines="0" zoomScale="115" zoomScaleNormal="115" workbookViewId="0">
      <pane ySplit="3" topLeftCell="A25" activePane="bottomLeft" state="frozen"/>
      <selection pane="bottomLeft" sqref="A1:C1"/>
    </sheetView>
  </sheetViews>
  <sheetFormatPr defaultColWidth="8.7109375" defaultRowHeight="15" customHeight="1" x14ac:dyDescent="0.25"/>
  <cols>
    <col min="1" max="1" width="26" customWidth="1"/>
    <col min="2" max="2" width="72" customWidth="1"/>
    <col min="3" max="3" width="4" customWidth="1"/>
  </cols>
  <sheetData>
    <row r="1" spans="1:3" ht="30" customHeight="1" x14ac:dyDescent="0.25">
      <c r="A1" s="12" t="s">
        <v>0</v>
      </c>
      <c r="B1" s="12"/>
      <c r="C1" s="12"/>
    </row>
    <row r="2" spans="1:3" ht="19.5" customHeight="1" x14ac:dyDescent="0.25">
      <c r="A2" s="11" t="s">
        <v>1</v>
      </c>
      <c r="B2" s="11"/>
      <c r="C2" s="11"/>
    </row>
    <row r="4" spans="1:3" ht="18" customHeight="1" x14ac:dyDescent="0.25">
      <c r="A4" s="10" t="s">
        <v>2</v>
      </c>
      <c r="B4" s="10"/>
      <c r="C4" s="10"/>
    </row>
    <row r="5" spans="1:3" ht="60" customHeight="1" x14ac:dyDescent="0.25">
      <c r="A5" s="9" t="s">
        <v>3</v>
      </c>
      <c r="B5" s="9"/>
      <c r="C5" s="9"/>
    </row>
    <row r="7" spans="1:3" ht="18" customHeight="1" x14ac:dyDescent="0.25">
      <c r="A7" s="10" t="s">
        <v>4</v>
      </c>
      <c r="B7" s="10"/>
      <c r="C7" s="10"/>
    </row>
    <row r="8" spans="1:3" ht="21.75" customHeight="1" x14ac:dyDescent="0.25">
      <c r="A8" s="13" t="s">
        <v>5</v>
      </c>
      <c r="B8" s="13" t="s">
        <v>6</v>
      </c>
      <c r="C8" s="14"/>
    </row>
    <row r="9" spans="1:3" ht="30" customHeight="1" x14ac:dyDescent="0.25">
      <c r="A9" s="15" t="s">
        <v>7</v>
      </c>
      <c r="B9" s="16" t="s">
        <v>8</v>
      </c>
    </row>
    <row r="10" spans="1:3" ht="45" customHeight="1" x14ac:dyDescent="0.25">
      <c r="A10" s="15" t="s">
        <v>9</v>
      </c>
      <c r="B10" s="16" t="s">
        <v>10</v>
      </c>
    </row>
    <row r="11" spans="1:3" ht="45" customHeight="1" x14ac:dyDescent="0.25">
      <c r="A11" s="15" t="s">
        <v>11</v>
      </c>
      <c r="B11" s="16" t="s">
        <v>12</v>
      </c>
    </row>
    <row r="12" spans="1:3" ht="45" customHeight="1" x14ac:dyDescent="0.25">
      <c r="A12" s="15" t="s">
        <v>13</v>
      </c>
      <c r="B12" s="16" t="s">
        <v>14</v>
      </c>
    </row>
    <row r="13" spans="1:3" ht="45" customHeight="1" x14ac:dyDescent="0.25">
      <c r="A13" s="15" t="s">
        <v>15</v>
      </c>
      <c r="B13" s="16" t="s">
        <v>16</v>
      </c>
    </row>
    <row r="14" spans="1:3" ht="45" customHeight="1" x14ac:dyDescent="0.25">
      <c r="A14" s="15" t="s">
        <v>17</v>
      </c>
      <c r="B14" s="16" t="s">
        <v>18</v>
      </c>
    </row>
    <row r="15" spans="1:3" ht="45" customHeight="1" x14ac:dyDescent="0.25">
      <c r="A15" s="15" t="s">
        <v>19</v>
      </c>
      <c r="B15" s="16" t="s">
        <v>20</v>
      </c>
    </row>
    <row r="16" spans="1:3" ht="45" customHeight="1" x14ac:dyDescent="0.25">
      <c r="A16" s="15" t="s">
        <v>21</v>
      </c>
      <c r="B16" s="16" t="s">
        <v>22</v>
      </c>
    </row>
    <row r="18" spans="1:3" ht="18" customHeight="1" x14ac:dyDescent="0.25">
      <c r="A18" s="10" t="s">
        <v>23</v>
      </c>
      <c r="B18" s="10"/>
      <c r="C18" s="10"/>
    </row>
    <row r="19" spans="1:3" ht="19.5" customHeight="1" x14ac:dyDescent="0.25">
      <c r="A19" s="15" t="s">
        <v>24</v>
      </c>
      <c r="B19" s="17" t="s">
        <v>25</v>
      </c>
    </row>
    <row r="20" spans="1:3" ht="19.5" customHeight="1" x14ac:dyDescent="0.25">
      <c r="A20" s="15" t="s">
        <v>26</v>
      </c>
      <c r="B20" s="17" t="s">
        <v>27</v>
      </c>
    </row>
    <row r="21" spans="1:3" ht="19.5" customHeight="1" x14ac:dyDescent="0.25">
      <c r="A21" s="15" t="s">
        <v>28</v>
      </c>
      <c r="B21" s="17" t="s">
        <v>29</v>
      </c>
    </row>
    <row r="22" spans="1:3" ht="19.5" customHeight="1" x14ac:dyDescent="0.25">
      <c r="A22" s="15" t="s">
        <v>30</v>
      </c>
      <c r="B22" s="17" t="s">
        <v>31</v>
      </c>
    </row>
    <row r="23" spans="1:3" ht="19.5" customHeight="1" x14ac:dyDescent="0.25">
      <c r="A23" s="15" t="s">
        <v>32</v>
      </c>
      <c r="B23" s="17" t="s">
        <v>33</v>
      </c>
    </row>
    <row r="24" spans="1:3" ht="19.5" customHeight="1" x14ac:dyDescent="0.25">
      <c r="A24" s="15" t="s">
        <v>34</v>
      </c>
      <c r="B24" s="17" t="s">
        <v>35</v>
      </c>
    </row>
    <row r="25" spans="1:3" ht="19.5" customHeight="1" x14ac:dyDescent="0.25">
      <c r="A25" s="15" t="s">
        <v>36</v>
      </c>
      <c r="B25" s="17" t="s">
        <v>37</v>
      </c>
    </row>
    <row r="26" spans="1:3" ht="19.5" customHeight="1" x14ac:dyDescent="0.25">
      <c r="A26" s="15" t="s">
        <v>38</v>
      </c>
      <c r="B26" s="17" t="s">
        <v>39</v>
      </c>
    </row>
    <row r="27" spans="1:3" ht="19.5" customHeight="1" x14ac:dyDescent="0.25">
      <c r="A27" s="15" t="s">
        <v>40</v>
      </c>
      <c r="B27" s="17" t="s">
        <v>41</v>
      </c>
    </row>
    <row r="29" spans="1:3" ht="18" customHeight="1" x14ac:dyDescent="0.25">
      <c r="A29" s="10" t="s">
        <v>42</v>
      </c>
      <c r="B29" s="10"/>
      <c r="C29" s="10"/>
    </row>
    <row r="30" spans="1:3" ht="21.75" customHeight="1" x14ac:dyDescent="0.25">
      <c r="A30" s="13" t="s">
        <v>43</v>
      </c>
      <c r="B30" s="13" t="s">
        <v>44</v>
      </c>
      <c r="C30" s="14"/>
    </row>
    <row r="31" spans="1:3" ht="25.5" customHeight="1" x14ac:dyDescent="0.25">
      <c r="A31" s="18" t="s">
        <v>45</v>
      </c>
      <c r="B31" s="16" t="s">
        <v>46</v>
      </c>
    </row>
    <row r="32" spans="1:3" ht="25.5" customHeight="1" x14ac:dyDescent="0.25">
      <c r="A32" s="18" t="s">
        <v>47</v>
      </c>
      <c r="B32" s="16" t="s">
        <v>48</v>
      </c>
    </row>
    <row r="33" spans="1:3" ht="25.5" customHeight="1" x14ac:dyDescent="0.25">
      <c r="A33" s="18" t="s">
        <v>49</v>
      </c>
      <c r="B33" s="16" t="s">
        <v>50</v>
      </c>
    </row>
    <row r="34" spans="1:3" ht="25.5" customHeight="1" x14ac:dyDescent="0.25">
      <c r="A34" s="18" t="s">
        <v>51</v>
      </c>
      <c r="B34" s="16" t="s">
        <v>52</v>
      </c>
    </row>
    <row r="35" spans="1:3" ht="25.5" customHeight="1" x14ac:dyDescent="0.25">
      <c r="A35" s="18" t="s">
        <v>53</v>
      </c>
      <c r="B35" s="16" t="s">
        <v>54</v>
      </c>
    </row>
    <row r="36" spans="1:3" ht="24" customHeight="1" x14ac:dyDescent="0.25">
      <c r="A36" s="18" t="s">
        <v>55</v>
      </c>
      <c r="B36" s="16" t="s">
        <v>56</v>
      </c>
    </row>
    <row r="37" spans="1:3" ht="24" customHeight="1" x14ac:dyDescent="0.25">
      <c r="A37" s="18" t="s">
        <v>57</v>
      </c>
      <c r="B37" s="16" t="s">
        <v>58</v>
      </c>
    </row>
    <row r="38" spans="1:3" ht="25.5" customHeight="1" x14ac:dyDescent="0.25">
      <c r="A38" s="18" t="s">
        <v>59</v>
      </c>
      <c r="B38" s="16" t="s">
        <v>60</v>
      </c>
    </row>
    <row r="39" spans="1:3" ht="24" customHeight="1" x14ac:dyDescent="0.25">
      <c r="A39" s="18" t="s">
        <v>61</v>
      </c>
      <c r="B39" s="16" t="s">
        <v>62</v>
      </c>
    </row>
    <row r="40" spans="1:3" ht="25.5" customHeight="1" x14ac:dyDescent="0.25">
      <c r="A40" s="18" t="s">
        <v>63</v>
      </c>
      <c r="B40" s="16" t="s">
        <v>64</v>
      </c>
    </row>
    <row r="41" spans="1:3" ht="24" customHeight="1" x14ac:dyDescent="0.25">
      <c r="A41" s="18" t="s">
        <v>65</v>
      </c>
      <c r="B41" s="16" t="s">
        <v>66</v>
      </c>
    </row>
    <row r="42" spans="1:3" ht="25.5" customHeight="1" x14ac:dyDescent="0.25">
      <c r="A42" s="18" t="s">
        <v>67</v>
      </c>
      <c r="B42" s="16" t="s">
        <v>68</v>
      </c>
    </row>
    <row r="44" spans="1:3" ht="18" customHeight="1" x14ac:dyDescent="0.25">
      <c r="A44" s="10" t="s">
        <v>69</v>
      </c>
      <c r="B44" s="10"/>
      <c r="C44" s="10"/>
    </row>
    <row r="45" spans="1:3" ht="21.75" customHeight="1" x14ac:dyDescent="0.25">
      <c r="A45" s="13" t="s">
        <v>70</v>
      </c>
      <c r="B45" s="13" t="s">
        <v>71</v>
      </c>
      <c r="C45" s="14"/>
    </row>
    <row r="46" spans="1:3" ht="39" customHeight="1" x14ac:dyDescent="0.25">
      <c r="A46" s="15" t="s">
        <v>72</v>
      </c>
      <c r="B46" s="16" t="s">
        <v>73</v>
      </c>
    </row>
    <row r="47" spans="1:3" ht="30" customHeight="1" x14ac:dyDescent="0.25">
      <c r="A47" s="15" t="s">
        <v>74</v>
      </c>
      <c r="B47" s="16" t="s">
        <v>75</v>
      </c>
    </row>
    <row r="48" spans="1:3" ht="30" customHeight="1" x14ac:dyDescent="0.25">
      <c r="A48" s="15" t="s">
        <v>76</v>
      </c>
      <c r="B48" s="16" t="s">
        <v>77</v>
      </c>
    </row>
    <row r="49" spans="1:3" ht="30" customHeight="1" x14ac:dyDescent="0.25">
      <c r="A49" s="15" t="s">
        <v>78</v>
      </c>
      <c r="B49" s="16" t="s">
        <v>79</v>
      </c>
    </row>
    <row r="50" spans="1:3" ht="30" customHeight="1" x14ac:dyDescent="0.25">
      <c r="A50" s="15" t="s">
        <v>80</v>
      </c>
      <c r="B50" s="16" t="s">
        <v>81</v>
      </c>
    </row>
    <row r="51" spans="1:3" ht="30" customHeight="1" x14ac:dyDescent="0.25">
      <c r="A51" s="15" t="s">
        <v>82</v>
      </c>
      <c r="B51" s="16" t="s">
        <v>83</v>
      </c>
    </row>
    <row r="53" spans="1:3" ht="18" customHeight="1" x14ac:dyDescent="0.25">
      <c r="A53" s="10" t="s">
        <v>84</v>
      </c>
      <c r="B53" s="10"/>
      <c r="C53" s="10"/>
    </row>
    <row r="54" spans="1:3" ht="25.5" customHeight="1" x14ac:dyDescent="0.25">
      <c r="A54" s="9" t="s">
        <v>85</v>
      </c>
      <c r="B54" s="9"/>
      <c r="C54" s="9"/>
    </row>
    <row r="55" spans="1:3" ht="25.5" customHeight="1" x14ac:dyDescent="0.25">
      <c r="A55" s="9" t="s">
        <v>86</v>
      </c>
      <c r="B55" s="9"/>
      <c r="C55" s="9"/>
    </row>
    <row r="56" spans="1:3" ht="25.5" customHeight="1" x14ac:dyDescent="0.25">
      <c r="A56" s="9" t="s">
        <v>87</v>
      </c>
      <c r="B56" s="9"/>
      <c r="C56" s="9"/>
    </row>
    <row r="57" spans="1:3" ht="25.5" customHeight="1" x14ac:dyDescent="0.25">
      <c r="A57" s="9" t="s">
        <v>88</v>
      </c>
      <c r="B57" s="9"/>
      <c r="C57" s="9"/>
    </row>
    <row r="58" spans="1:3" ht="25.5" customHeight="1" x14ac:dyDescent="0.25">
      <c r="A58" s="9" t="s">
        <v>89</v>
      </c>
      <c r="B58" s="9"/>
      <c r="C58" s="9"/>
    </row>
    <row r="59" spans="1:3" ht="19.5" customHeight="1" x14ac:dyDescent="0.25">
      <c r="A59" s="9" t="s">
        <v>90</v>
      </c>
      <c r="B59" s="9"/>
      <c r="C59" s="9"/>
    </row>
    <row r="60" spans="1:3" ht="25.5" customHeight="1" x14ac:dyDescent="0.25">
      <c r="A60" s="9" t="s">
        <v>91</v>
      </c>
      <c r="B60" s="9"/>
      <c r="C60" s="9"/>
    </row>
    <row r="61" spans="1:3" ht="19.5" customHeight="1" x14ac:dyDescent="0.25">
      <c r="A61" s="9" t="s">
        <v>92</v>
      </c>
      <c r="B61" s="9"/>
      <c r="C61" s="9"/>
    </row>
    <row r="62" spans="1:3" ht="25.5" customHeight="1" x14ac:dyDescent="0.25">
      <c r="A62" s="9" t="s">
        <v>93</v>
      </c>
      <c r="B62" s="9"/>
      <c r="C62" s="9"/>
    </row>
    <row r="64" spans="1:3" ht="18" customHeight="1" x14ac:dyDescent="0.25">
      <c r="A64" s="10" t="s">
        <v>94</v>
      </c>
      <c r="B64" s="10"/>
      <c r="C64" s="10"/>
    </row>
    <row r="65" spans="1:3" ht="21.75" customHeight="1" x14ac:dyDescent="0.25">
      <c r="A65" s="19" t="s">
        <v>95</v>
      </c>
      <c r="B65" s="16" t="s">
        <v>96</v>
      </c>
    </row>
    <row r="66" spans="1:3" ht="21.75" customHeight="1" x14ac:dyDescent="0.25">
      <c r="A66" s="20" t="s">
        <v>97</v>
      </c>
      <c r="B66" s="16" t="s">
        <v>98</v>
      </c>
    </row>
    <row r="67" spans="1:3" ht="21.75" customHeight="1" x14ac:dyDescent="0.25">
      <c r="A67" s="21" t="s">
        <v>99</v>
      </c>
      <c r="B67" s="16" t="s">
        <v>100</v>
      </c>
    </row>
    <row r="68" spans="1:3" ht="21.75" customHeight="1" x14ac:dyDescent="0.25">
      <c r="A68" s="22" t="s">
        <v>101</v>
      </c>
      <c r="B68" s="16" t="s">
        <v>102</v>
      </c>
    </row>
    <row r="69" spans="1:3" ht="21.75" customHeight="1" x14ac:dyDescent="0.25">
      <c r="A69" s="18" t="s">
        <v>103</v>
      </c>
      <c r="B69" s="16" t="s">
        <v>104</v>
      </c>
    </row>
    <row r="71" spans="1:3" ht="18" customHeight="1" x14ac:dyDescent="0.25">
      <c r="A71" s="10" t="s">
        <v>105</v>
      </c>
      <c r="B71" s="10"/>
      <c r="C71" s="10"/>
    </row>
    <row r="72" spans="1:3" ht="69.75" customHeight="1" x14ac:dyDescent="0.25">
      <c r="A72" s="9" t="s">
        <v>106</v>
      </c>
      <c r="B72" s="9"/>
      <c r="C72" s="9"/>
    </row>
    <row r="74" spans="1:3" ht="15" customHeight="1" x14ac:dyDescent="0.25">
      <c r="A74" s="23" t="s">
        <v>107</v>
      </c>
      <c r="B74" s="24" t="s">
        <v>108</v>
      </c>
    </row>
    <row r="75" spans="1:3" ht="15" customHeight="1" x14ac:dyDescent="0.25">
      <c r="A75" s="23" t="s">
        <v>109</v>
      </c>
      <c r="B75" s="24" t="s">
        <v>110</v>
      </c>
    </row>
    <row r="76" spans="1:3" ht="15" customHeight="1" x14ac:dyDescent="0.25">
      <c r="A76" s="23" t="s">
        <v>111</v>
      </c>
      <c r="B76" s="24" t="s">
        <v>112</v>
      </c>
    </row>
  </sheetData>
  <mergeCells count="21">
    <mergeCell ref="A72:C72"/>
    <mergeCell ref="A60:C60"/>
    <mergeCell ref="A61:C61"/>
    <mergeCell ref="A62:C62"/>
    <mergeCell ref="A64:C64"/>
    <mergeCell ref="A71:C71"/>
    <mergeCell ref="A55:C55"/>
    <mergeCell ref="A56:C56"/>
    <mergeCell ref="A57:C57"/>
    <mergeCell ref="A58:C58"/>
    <mergeCell ref="A59:C59"/>
    <mergeCell ref="A18:C18"/>
    <mergeCell ref="A29:C29"/>
    <mergeCell ref="A44:C44"/>
    <mergeCell ref="A53:C53"/>
    <mergeCell ref="A54:C54"/>
    <mergeCell ref="A1:C1"/>
    <mergeCell ref="A2:C2"/>
    <mergeCell ref="A4:C4"/>
    <mergeCell ref="A5:C5"/>
    <mergeCell ref="A7:C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showGridLines="0" zoomScaleNormal="100" workbookViewId="0">
      <pane ySplit="4" topLeftCell="A5" activePane="bottomLeft" state="frozen"/>
      <selection pane="bottomLeft" activeCell="I7" sqref="I7"/>
    </sheetView>
  </sheetViews>
  <sheetFormatPr defaultColWidth="8.7109375" defaultRowHeight="15" customHeight="1" x14ac:dyDescent="0.25"/>
  <cols>
    <col min="1" max="1" width="18" customWidth="1"/>
    <col min="2" max="2" width="6" customWidth="1"/>
    <col min="3" max="6" width="11" customWidth="1"/>
    <col min="7" max="7" width="8" customWidth="1"/>
    <col min="8" max="8" width="12" customWidth="1"/>
    <col min="9" max="9" width="9" customWidth="1"/>
    <col min="10" max="10" width="11" customWidth="1"/>
    <col min="11" max="11" width="7" customWidth="1"/>
    <col min="12" max="12" width="13" customWidth="1"/>
    <col min="13" max="13" width="14" customWidth="1"/>
    <col min="14" max="14" width="10" customWidth="1"/>
    <col min="15" max="15" width="36" customWidth="1"/>
    <col min="16" max="16" width="34" customWidth="1"/>
    <col min="17" max="17" width="48" customWidth="1"/>
  </cols>
  <sheetData>
    <row r="1" spans="1:17" ht="25.5" customHeight="1" x14ac:dyDescent="0.25">
      <c r="A1" s="12" t="s">
        <v>113</v>
      </c>
      <c r="B1" s="12"/>
      <c r="C1" s="12"/>
      <c r="D1" s="12"/>
      <c r="E1" s="12"/>
      <c r="F1" s="12"/>
      <c r="G1" s="12"/>
      <c r="H1" s="12"/>
      <c r="I1" s="12"/>
      <c r="J1" s="12"/>
      <c r="K1" s="12"/>
      <c r="L1" s="12"/>
      <c r="M1" s="12"/>
      <c r="N1" s="12"/>
      <c r="O1" s="12"/>
      <c r="P1" s="12"/>
      <c r="Q1" s="12"/>
    </row>
    <row r="2" spans="1:17" ht="19.5" customHeight="1" x14ac:dyDescent="0.25">
      <c r="A2" s="11" t="s">
        <v>114</v>
      </c>
      <c r="B2" s="11"/>
      <c r="C2" s="11"/>
      <c r="D2" s="11"/>
      <c r="E2" s="11"/>
      <c r="F2" s="11"/>
      <c r="G2" s="11"/>
      <c r="H2" s="11"/>
      <c r="I2" s="11"/>
      <c r="J2" s="11"/>
      <c r="K2" s="11"/>
      <c r="L2" s="11"/>
      <c r="M2" s="11"/>
      <c r="N2" s="11"/>
      <c r="O2" s="11"/>
      <c r="P2" s="11"/>
      <c r="Q2" s="11"/>
    </row>
    <row r="4" spans="1:17" ht="31.5" customHeight="1" x14ac:dyDescent="0.25">
      <c r="A4" s="13" t="s">
        <v>115</v>
      </c>
      <c r="B4" s="13" t="s">
        <v>116</v>
      </c>
      <c r="C4" s="13" t="s">
        <v>117</v>
      </c>
      <c r="D4" s="13" t="s">
        <v>118</v>
      </c>
      <c r="E4" s="13" t="s">
        <v>119</v>
      </c>
      <c r="F4" s="13" t="s">
        <v>120</v>
      </c>
      <c r="G4" s="13" t="s">
        <v>121</v>
      </c>
      <c r="H4" s="13" t="s">
        <v>122</v>
      </c>
      <c r="I4" s="13" t="s">
        <v>123</v>
      </c>
      <c r="J4" s="13" t="s">
        <v>124</v>
      </c>
      <c r="K4" s="13" t="s">
        <v>53</v>
      </c>
      <c r="L4" s="13" t="s">
        <v>125</v>
      </c>
      <c r="M4" s="13" t="s">
        <v>126</v>
      </c>
      <c r="N4" s="13" t="s">
        <v>127</v>
      </c>
      <c r="O4" s="13" t="s">
        <v>128</v>
      </c>
      <c r="P4" s="13" t="s">
        <v>129</v>
      </c>
      <c r="Q4" s="13" t="s">
        <v>130</v>
      </c>
    </row>
    <row r="5" spans="1:17" ht="36" customHeight="1" x14ac:dyDescent="0.25">
      <c r="A5" s="17" t="s">
        <v>131</v>
      </c>
      <c r="B5" s="25" t="s">
        <v>132</v>
      </c>
      <c r="C5" s="17" t="s">
        <v>133</v>
      </c>
      <c r="D5" s="26"/>
      <c r="E5" s="27">
        <v>1.27</v>
      </c>
      <c r="F5" s="28">
        <f>E5*3.78541</f>
        <v>4.8074707000000005</v>
      </c>
      <c r="G5" s="29">
        <v>0.77</v>
      </c>
      <c r="H5" s="28">
        <f t="shared" ref="H5:H14" si="0">G5*F5</f>
        <v>3.7017524390000003</v>
      </c>
      <c r="I5" s="30">
        <v>4.5999999999999996</v>
      </c>
      <c r="J5" s="31">
        <f t="shared" ref="J5:J14" si="1">I5*3.78541</f>
        <v>17.412886</v>
      </c>
      <c r="K5" s="32">
        <v>6.3</v>
      </c>
      <c r="L5" s="28">
        <f t="shared" ref="L5:L14" si="2">H5*K5</f>
        <v>23.3210403657</v>
      </c>
      <c r="M5" s="33">
        <v>18000</v>
      </c>
      <c r="N5" s="34" t="s">
        <v>134</v>
      </c>
      <c r="O5" s="17" t="s">
        <v>135</v>
      </c>
      <c r="P5" s="35" t="str">
        <f>HYPERLINK("https://lebanon.in.gov/wp-content/uploads/2025/01/Docket-25-35-Project-Domino-Devt-Plan-Staff-Report.pdf","Lebanon IN — City of Lebanon Project Domino staff report")</f>
        <v>Lebanon IN — City of Lebanon Project Domino staff report</v>
      </c>
      <c r="Q5" s="16" t="s">
        <v>136</v>
      </c>
    </row>
    <row r="6" spans="1:17" ht="36" customHeight="1" x14ac:dyDescent="0.25">
      <c r="A6" s="36" t="s">
        <v>137</v>
      </c>
      <c r="B6" s="37" t="s">
        <v>138</v>
      </c>
      <c r="C6" s="36" t="s">
        <v>139</v>
      </c>
      <c r="D6" s="38">
        <v>5338.6</v>
      </c>
      <c r="E6" s="39"/>
      <c r="F6" s="40">
        <f>D6/365.25</f>
        <v>14.616290212183436</v>
      </c>
      <c r="G6" s="29">
        <v>0.71599999999999997</v>
      </c>
      <c r="H6" s="40">
        <f t="shared" si="0"/>
        <v>10.46526379192334</v>
      </c>
      <c r="I6" s="30">
        <v>30</v>
      </c>
      <c r="J6" s="41">
        <f t="shared" si="1"/>
        <v>113.56230000000001</v>
      </c>
      <c r="K6" s="32">
        <v>6.5</v>
      </c>
      <c r="L6" s="40">
        <f t="shared" si="2"/>
        <v>68.024214647501708</v>
      </c>
      <c r="M6" s="33">
        <v>63000</v>
      </c>
      <c r="N6" s="42">
        <v>1.0900000000000001</v>
      </c>
      <c r="O6" s="36" t="s">
        <v>140</v>
      </c>
      <c r="P6" s="43" t="str">
        <f>HYPERLINK("https://sustainability.google/reports/google-2025-environmental-report/","Google 2025 Environmental Report")</f>
        <v>Google 2025 Environmental Report</v>
      </c>
      <c r="Q6" s="44" t="s">
        <v>141</v>
      </c>
    </row>
    <row r="7" spans="1:17" ht="36" customHeight="1" x14ac:dyDescent="0.25">
      <c r="A7" s="17" t="s">
        <v>142</v>
      </c>
      <c r="B7" s="25" t="s">
        <v>143</v>
      </c>
      <c r="C7" s="17" t="s">
        <v>139</v>
      </c>
      <c r="D7" s="38">
        <v>4195.3999999999996</v>
      </c>
      <c r="E7" s="45"/>
      <c r="F7" s="28">
        <f>D7/365.25</f>
        <v>11.486379192334017</v>
      </c>
      <c r="G7" s="29">
        <v>0.752</v>
      </c>
      <c r="H7" s="28">
        <f t="shared" si="0"/>
        <v>8.6377571526351797</v>
      </c>
      <c r="I7" s="30">
        <v>10</v>
      </c>
      <c r="J7" s="31">
        <f t="shared" si="1"/>
        <v>37.854100000000003</v>
      </c>
      <c r="K7" s="32">
        <v>2.5</v>
      </c>
      <c r="L7" s="28">
        <f t="shared" si="2"/>
        <v>21.59439288158795</v>
      </c>
      <c r="M7" s="33">
        <v>41000</v>
      </c>
      <c r="N7" s="34">
        <v>1.1100000000000001</v>
      </c>
      <c r="O7" s="17" t="s">
        <v>140</v>
      </c>
      <c r="P7" s="35" t="str">
        <f>HYPERLINK("https://sustainability.google/reports/google-2025-environmental-report/","Google 2025 Environmental Report")</f>
        <v>Google 2025 Environmental Report</v>
      </c>
      <c r="Q7" s="16" t="s">
        <v>144</v>
      </c>
    </row>
    <row r="8" spans="1:17" ht="36" customHeight="1" x14ac:dyDescent="0.25">
      <c r="A8" s="36" t="s">
        <v>145</v>
      </c>
      <c r="B8" s="37" t="s">
        <v>146</v>
      </c>
      <c r="C8" s="36" t="s">
        <v>139</v>
      </c>
      <c r="D8" s="38">
        <v>1745.5</v>
      </c>
      <c r="E8" s="39"/>
      <c r="F8" s="40">
        <f>D8/365.25</f>
        <v>4.7789185489390826</v>
      </c>
      <c r="G8" s="29">
        <v>0.78400000000000003</v>
      </c>
      <c r="H8" s="40">
        <f t="shared" si="0"/>
        <v>3.746672142368241</v>
      </c>
      <c r="I8" s="30">
        <v>4.5</v>
      </c>
      <c r="J8" s="41">
        <f t="shared" si="1"/>
        <v>17.034345000000002</v>
      </c>
      <c r="K8" s="32">
        <v>2.21</v>
      </c>
      <c r="L8" s="40">
        <f t="shared" si="2"/>
        <v>8.2801454346338126</v>
      </c>
      <c r="M8" s="33">
        <v>16000</v>
      </c>
      <c r="N8" s="42">
        <v>1.08</v>
      </c>
      <c r="O8" s="36" t="s">
        <v>140</v>
      </c>
      <c r="P8" s="43" t="str">
        <f>HYPERLINK("https://sustainability.google/reports/google-2025-environmental-report/","Google 2025 Environmental Report")</f>
        <v>Google 2025 Environmental Report</v>
      </c>
      <c r="Q8" s="44" t="s">
        <v>147</v>
      </c>
    </row>
    <row r="9" spans="1:17" ht="36" customHeight="1" x14ac:dyDescent="0.25">
      <c r="A9" s="17" t="s">
        <v>148</v>
      </c>
      <c r="B9" s="25" t="s">
        <v>149</v>
      </c>
      <c r="C9" s="17" t="s">
        <v>139</v>
      </c>
      <c r="D9" s="38">
        <v>1680.7</v>
      </c>
      <c r="E9" s="45"/>
      <c r="F9" s="28">
        <f>D9/365.25</f>
        <v>4.6015058179329227</v>
      </c>
      <c r="G9" s="29">
        <v>0.82599999999999996</v>
      </c>
      <c r="H9" s="28">
        <f t="shared" si="0"/>
        <v>3.8008438056125939</v>
      </c>
      <c r="I9" s="30">
        <v>8</v>
      </c>
      <c r="J9" s="31">
        <f t="shared" si="1"/>
        <v>30.283280000000001</v>
      </c>
      <c r="K9" s="32">
        <v>2.5</v>
      </c>
      <c r="L9" s="28">
        <f t="shared" si="2"/>
        <v>9.5021095140314848</v>
      </c>
      <c r="M9" s="33">
        <v>146000</v>
      </c>
      <c r="N9" s="34">
        <v>1.0900000000000001</v>
      </c>
      <c r="O9" s="17" t="s">
        <v>140</v>
      </c>
      <c r="P9" s="35" t="str">
        <f>HYPERLINK("https://sustainability.google/reports/google-2025-environmental-report/","Google 2025 Environmental Report")</f>
        <v>Google 2025 Environmental Report</v>
      </c>
      <c r="Q9" s="16" t="s">
        <v>150</v>
      </c>
    </row>
    <row r="10" spans="1:17" ht="36" customHeight="1" x14ac:dyDescent="0.25">
      <c r="A10" s="36" t="s">
        <v>151</v>
      </c>
      <c r="B10" s="37" t="s">
        <v>152</v>
      </c>
      <c r="C10" s="36" t="s">
        <v>153</v>
      </c>
      <c r="D10" s="46"/>
      <c r="E10" s="27">
        <v>2.3E-2</v>
      </c>
      <c r="F10" s="40">
        <f>E10*3.78541</f>
        <v>8.7064429999999998E-2</v>
      </c>
      <c r="G10" s="29">
        <v>0.77</v>
      </c>
      <c r="H10" s="40">
        <f t="shared" si="0"/>
        <v>6.7039611099999993E-2</v>
      </c>
      <c r="I10" s="30">
        <v>2</v>
      </c>
      <c r="J10" s="41">
        <f t="shared" si="1"/>
        <v>7.5708200000000003</v>
      </c>
      <c r="K10" s="32">
        <v>30</v>
      </c>
      <c r="L10" s="40">
        <f t="shared" si="2"/>
        <v>2.0111883329999998</v>
      </c>
      <c r="M10" s="33">
        <v>12000</v>
      </c>
      <c r="N10" s="42" t="s">
        <v>134</v>
      </c>
      <c r="O10" s="36" t="s">
        <v>154</v>
      </c>
      <c r="P10" s="43" t="str">
        <f>HYPERLINK("https://www.wpr.org/news/mount-pleasant-approves-site-plans-microsoft-data-center-expansion","WPR — Microsoft Mount Pleasant data centre expansion")</f>
        <v>WPR — Microsoft Mount Pleasant data centre expansion</v>
      </c>
      <c r="Q10" s="44" t="s">
        <v>155</v>
      </c>
    </row>
    <row r="11" spans="1:17" ht="36" customHeight="1" x14ac:dyDescent="0.25">
      <c r="A11" s="17" t="s">
        <v>156</v>
      </c>
      <c r="B11" s="25" t="s">
        <v>157</v>
      </c>
      <c r="C11" s="17" t="s">
        <v>139</v>
      </c>
      <c r="D11" s="26"/>
      <c r="E11" s="27">
        <v>2</v>
      </c>
      <c r="F11" s="28">
        <f>E11*3.78541</f>
        <v>7.5708200000000003</v>
      </c>
      <c r="G11" s="29">
        <v>0.77</v>
      </c>
      <c r="H11" s="28">
        <f t="shared" si="0"/>
        <v>5.8295314000000005</v>
      </c>
      <c r="I11" s="30">
        <v>28</v>
      </c>
      <c r="J11" s="31">
        <f t="shared" si="1"/>
        <v>105.99148000000001</v>
      </c>
      <c r="K11" s="32">
        <v>2.5</v>
      </c>
      <c r="L11" s="28">
        <f t="shared" si="2"/>
        <v>14.573828500000001</v>
      </c>
      <c r="M11" s="33">
        <v>34000</v>
      </c>
      <c r="N11" s="34" t="s">
        <v>134</v>
      </c>
      <c r="O11" s="17" t="s">
        <v>158</v>
      </c>
      <c r="P11" s="35" t="str">
        <f>HYPERLINK("https://www.botetourtva.gov/1023/Google-Data-Center-Water","Botetourt County — Google Data Center Water FAQ")</f>
        <v>Botetourt County — Google Data Center Water FAQ</v>
      </c>
      <c r="Q11" s="16" t="s">
        <v>159</v>
      </c>
    </row>
    <row r="12" spans="1:17" ht="36" customHeight="1" x14ac:dyDescent="0.25">
      <c r="A12" s="36" t="s">
        <v>160</v>
      </c>
      <c r="B12" s="37" t="s">
        <v>161</v>
      </c>
      <c r="C12" s="36" t="s">
        <v>162</v>
      </c>
      <c r="D12" s="46"/>
      <c r="E12" s="27">
        <v>1</v>
      </c>
      <c r="F12" s="40">
        <f>E12*3.78541</f>
        <v>3.7854100000000002</v>
      </c>
      <c r="G12" s="29">
        <v>0.77</v>
      </c>
      <c r="H12" s="40">
        <f t="shared" si="0"/>
        <v>2.9147657000000002</v>
      </c>
      <c r="I12" s="30">
        <v>258</v>
      </c>
      <c r="J12" s="41">
        <f t="shared" si="1"/>
        <v>976.63578000000007</v>
      </c>
      <c r="K12" s="32">
        <v>4.5</v>
      </c>
      <c r="L12" s="40">
        <f t="shared" si="2"/>
        <v>13.116445650000001</v>
      </c>
      <c r="M12" s="33">
        <v>630000</v>
      </c>
      <c r="N12" s="42" t="s">
        <v>134</v>
      </c>
      <c r="O12" s="36" t="s">
        <v>163</v>
      </c>
      <c r="P12" s="43" t="str">
        <f>HYPERLINK("https://www.protectouraquifer.org/issues/xai-supercomputer","Protect Our Aquifer — xAI Supercomputer dossier")</f>
        <v>Protect Our Aquifer — xAI Supercomputer dossier</v>
      </c>
      <c r="Q12" s="44" t="s">
        <v>164</v>
      </c>
    </row>
    <row r="13" spans="1:17" ht="36" customHeight="1" x14ac:dyDescent="0.25">
      <c r="A13" s="17" t="s">
        <v>165</v>
      </c>
      <c r="B13" s="25" t="s">
        <v>166</v>
      </c>
      <c r="C13" s="17" t="s">
        <v>139</v>
      </c>
      <c r="D13" s="38">
        <v>836.6</v>
      </c>
      <c r="E13" s="45"/>
      <c r="F13" s="28">
        <f>D13/365.25</f>
        <v>2.2904859685147159</v>
      </c>
      <c r="G13" s="29">
        <v>0.82499999999999996</v>
      </c>
      <c r="H13" s="28">
        <f t="shared" si="0"/>
        <v>1.8896509240246404</v>
      </c>
      <c r="I13" s="30">
        <v>36</v>
      </c>
      <c r="J13" s="31">
        <f t="shared" si="1"/>
        <v>136.27476000000001</v>
      </c>
      <c r="K13" s="32">
        <v>2.5</v>
      </c>
      <c r="L13" s="28">
        <f t="shared" si="2"/>
        <v>4.7241273100616006</v>
      </c>
      <c r="M13" s="33">
        <v>40000</v>
      </c>
      <c r="N13" s="34" t="s">
        <v>134</v>
      </c>
      <c r="O13" s="17" t="s">
        <v>140</v>
      </c>
      <c r="P13" s="35" t="str">
        <f>HYPERLINK("https://sustainability.google/reports/google-2025-environmental-report/","Google 2025 Environmental Report")</f>
        <v>Google 2025 Environmental Report</v>
      </c>
      <c r="Q13" s="16" t="s">
        <v>167</v>
      </c>
    </row>
    <row r="14" spans="1:17" ht="36" customHeight="1" x14ac:dyDescent="0.25">
      <c r="A14" s="36" t="s">
        <v>168</v>
      </c>
      <c r="B14" s="37" t="s">
        <v>169</v>
      </c>
      <c r="C14" s="36" t="s">
        <v>139</v>
      </c>
      <c r="D14" s="38">
        <v>1362.7</v>
      </c>
      <c r="E14" s="39"/>
      <c r="F14" s="40">
        <f>D14/365.25</f>
        <v>3.7308692676249144</v>
      </c>
      <c r="G14" s="29">
        <v>0.57599999999999996</v>
      </c>
      <c r="H14" s="40">
        <f t="shared" si="0"/>
        <v>2.1489806981519504</v>
      </c>
      <c r="I14" s="30">
        <v>900</v>
      </c>
      <c r="J14" s="41">
        <f t="shared" si="1"/>
        <v>3406.8690000000001</v>
      </c>
      <c r="K14" s="32">
        <v>2.5</v>
      </c>
      <c r="L14" s="40">
        <f t="shared" si="2"/>
        <v>5.3724517453798759</v>
      </c>
      <c r="M14" s="33">
        <v>320000</v>
      </c>
      <c r="N14" s="42">
        <v>1.0900000000000001</v>
      </c>
      <c r="O14" s="36" t="s">
        <v>140</v>
      </c>
      <c r="P14" s="43" t="str">
        <f>HYPERLINK("https://sustainability.google/reports/google-2025-environmental-report/","Google 2025 Environmental Report")</f>
        <v>Google 2025 Environmental Report</v>
      </c>
      <c r="Q14" s="44" t="s">
        <v>170</v>
      </c>
    </row>
    <row r="16" spans="1:17" ht="18" customHeight="1" x14ac:dyDescent="0.25">
      <c r="A16" s="10" t="s">
        <v>171</v>
      </c>
      <c r="B16" s="10"/>
      <c r="C16" s="10"/>
      <c r="D16" s="10"/>
      <c r="E16" s="10"/>
      <c r="F16" s="10"/>
      <c r="G16" s="10"/>
      <c r="H16" s="10"/>
      <c r="I16" s="10"/>
      <c r="J16" s="10"/>
      <c r="K16" s="10"/>
      <c r="L16" s="10"/>
      <c r="M16" s="10"/>
      <c r="N16" s="10"/>
      <c r="O16" s="10"/>
      <c r="P16" s="10"/>
      <c r="Q16" s="10"/>
    </row>
    <row r="17" spans="1:17" ht="24" customHeight="1" x14ac:dyDescent="0.25">
      <c r="A17" s="8" t="s">
        <v>172</v>
      </c>
      <c r="B17" s="8"/>
      <c r="C17" s="8"/>
      <c r="D17" s="9" t="s">
        <v>173</v>
      </c>
      <c r="E17" s="9"/>
      <c r="F17" s="9"/>
      <c r="G17" s="9"/>
      <c r="H17" s="9"/>
      <c r="I17" s="9"/>
      <c r="J17" s="9"/>
      <c r="K17" s="9"/>
      <c r="L17" s="9"/>
      <c r="M17" s="9"/>
      <c r="N17" s="9"/>
      <c r="O17" s="9"/>
      <c r="P17" s="9"/>
      <c r="Q17" s="9"/>
    </row>
    <row r="18" spans="1:17" ht="39" customHeight="1" x14ac:dyDescent="0.25">
      <c r="A18" s="8" t="s">
        <v>174</v>
      </c>
      <c r="B18" s="8"/>
      <c r="C18" s="8"/>
      <c r="D18" s="9" t="s">
        <v>175</v>
      </c>
      <c r="E18" s="9"/>
      <c r="F18" s="9"/>
      <c r="G18" s="9"/>
      <c r="H18" s="9"/>
      <c r="I18" s="9"/>
      <c r="J18" s="9"/>
      <c r="K18" s="9"/>
      <c r="L18" s="9"/>
      <c r="M18" s="9"/>
      <c r="N18" s="9"/>
      <c r="O18" s="9"/>
      <c r="P18" s="9"/>
      <c r="Q18" s="9"/>
    </row>
    <row r="19" spans="1:17" ht="25.5" customHeight="1" x14ac:dyDescent="0.25">
      <c r="A19" s="8" t="s">
        <v>176</v>
      </c>
      <c r="B19" s="8"/>
      <c r="C19" s="8"/>
      <c r="D19" s="9" t="s">
        <v>177</v>
      </c>
      <c r="E19" s="9"/>
      <c r="F19" s="9"/>
      <c r="G19" s="9"/>
      <c r="H19" s="9"/>
      <c r="I19" s="9"/>
      <c r="J19" s="9"/>
      <c r="K19" s="9"/>
      <c r="L19" s="9"/>
      <c r="M19" s="9"/>
      <c r="N19" s="9"/>
      <c r="O19" s="9"/>
      <c r="P19" s="9"/>
      <c r="Q19" s="9"/>
    </row>
    <row r="20" spans="1:17" ht="25.5" customHeight="1" x14ac:dyDescent="0.25">
      <c r="A20" s="8" t="s">
        <v>178</v>
      </c>
      <c r="B20" s="8"/>
      <c r="C20" s="8"/>
      <c r="D20" s="9" t="s">
        <v>179</v>
      </c>
      <c r="E20" s="9"/>
      <c r="F20" s="9"/>
      <c r="G20" s="9"/>
      <c r="H20" s="9"/>
      <c r="I20" s="9"/>
      <c r="J20" s="9"/>
      <c r="K20" s="9"/>
      <c r="L20" s="9"/>
      <c r="M20" s="9"/>
      <c r="N20" s="9"/>
      <c r="O20" s="9"/>
      <c r="P20" s="9"/>
      <c r="Q20" s="9"/>
    </row>
    <row r="21" spans="1:17" ht="25.5" customHeight="1" x14ac:dyDescent="0.25">
      <c r="A21" s="8" t="s">
        <v>180</v>
      </c>
      <c r="B21" s="8"/>
      <c r="C21" s="8"/>
      <c r="D21" s="9" t="s">
        <v>181</v>
      </c>
      <c r="E21" s="9"/>
      <c r="F21" s="9"/>
      <c r="G21" s="9"/>
      <c r="H21" s="9"/>
      <c r="I21" s="9"/>
      <c r="J21" s="9"/>
      <c r="K21" s="9"/>
      <c r="L21" s="9"/>
      <c r="M21" s="9"/>
      <c r="N21" s="9"/>
      <c r="O21" s="9"/>
      <c r="P21" s="9"/>
      <c r="Q21" s="9"/>
    </row>
  </sheetData>
  <mergeCells count="13">
    <mergeCell ref="A21:C21"/>
    <mergeCell ref="D21:Q21"/>
    <mergeCell ref="A18:C18"/>
    <mergeCell ref="D18:Q18"/>
    <mergeCell ref="A19:C19"/>
    <mergeCell ref="D19:Q19"/>
    <mergeCell ref="A20:C20"/>
    <mergeCell ref="D20:Q20"/>
    <mergeCell ref="A1:Q1"/>
    <mergeCell ref="A2:Q2"/>
    <mergeCell ref="A16:Q16"/>
    <mergeCell ref="A17:C17"/>
    <mergeCell ref="D17:Q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showGridLines="0" zoomScaleNormal="100" workbookViewId="0">
      <pane ySplit="4" topLeftCell="A5" activePane="bottomLeft" state="frozen"/>
      <selection pane="bottomLeft" sqref="A1:K1"/>
    </sheetView>
  </sheetViews>
  <sheetFormatPr defaultColWidth="8.7109375" defaultRowHeight="15" customHeight="1" x14ac:dyDescent="0.25"/>
  <cols>
    <col min="1" max="1" width="18" customWidth="1"/>
    <col min="2" max="4" width="13" customWidth="1"/>
    <col min="5" max="6" width="10" customWidth="1"/>
    <col min="7" max="7" width="11" customWidth="1"/>
    <col min="8" max="8" width="12" customWidth="1"/>
    <col min="9" max="10" width="16" customWidth="1"/>
    <col min="11" max="11" width="48" customWidth="1"/>
  </cols>
  <sheetData>
    <row r="1" spans="1:11" ht="25.5" customHeight="1" x14ac:dyDescent="0.25">
      <c r="A1" s="12" t="s">
        <v>182</v>
      </c>
      <c r="B1" s="12"/>
      <c r="C1" s="12"/>
      <c r="D1" s="12"/>
      <c r="E1" s="12"/>
      <c r="F1" s="12"/>
      <c r="G1" s="12"/>
      <c r="H1" s="12"/>
      <c r="I1" s="12"/>
      <c r="J1" s="12"/>
      <c r="K1" s="12"/>
    </row>
    <row r="2" spans="1:11" ht="19.5" customHeight="1" x14ac:dyDescent="0.25">
      <c r="A2" s="11" t="s">
        <v>183</v>
      </c>
      <c r="B2" s="11"/>
      <c r="C2" s="11"/>
      <c r="D2" s="11"/>
      <c r="E2" s="11"/>
      <c r="F2" s="11"/>
      <c r="G2" s="11"/>
      <c r="H2" s="11"/>
      <c r="I2" s="11"/>
      <c r="J2" s="11"/>
      <c r="K2" s="11"/>
    </row>
    <row r="4" spans="1:11" ht="36" customHeight="1" x14ac:dyDescent="0.25">
      <c r="A4" s="13" t="s">
        <v>115</v>
      </c>
      <c r="B4" s="13" t="s">
        <v>184</v>
      </c>
      <c r="C4" s="13" t="s">
        <v>185</v>
      </c>
      <c r="D4" s="13" t="s">
        <v>186</v>
      </c>
      <c r="E4" s="13" t="s">
        <v>187</v>
      </c>
      <c r="F4" s="13" t="s">
        <v>188</v>
      </c>
      <c r="G4" s="13" t="s">
        <v>189</v>
      </c>
      <c r="H4" s="13" t="s">
        <v>190</v>
      </c>
      <c r="I4" s="13" t="s">
        <v>191</v>
      </c>
      <c r="J4" s="13" t="s">
        <v>192</v>
      </c>
      <c r="K4" s="13" t="s">
        <v>193</v>
      </c>
    </row>
    <row r="5" spans="1:11" ht="33.75" customHeight="1" x14ac:dyDescent="0.25">
      <c r="A5" s="17" t="str">
        <f>'1. Inputs'!A5</f>
        <v>Lebanon</v>
      </c>
      <c r="B5" s="28">
        <f>'1. Inputs'!F5/'1. Inputs'!J5</f>
        <v>0.27608695652173915</v>
      </c>
      <c r="C5" s="28">
        <f>'1. Inputs'!G5</f>
        <v>0.77</v>
      </c>
      <c r="D5" s="34">
        <f>'1. Inputs'!K5</f>
        <v>6.3</v>
      </c>
      <c r="E5" s="28">
        <f t="shared" ref="E5:E14" si="0">B5*C5*D5</f>
        <v>1.3392978260869566</v>
      </c>
      <c r="F5" s="47">
        <f t="shared" ref="F5:F14" si="1">E5</f>
        <v>1.3392978260869566</v>
      </c>
      <c r="G5" s="28">
        <f t="shared" ref="G5:G14" si="2">B5*C5</f>
        <v>0.21258695652173915</v>
      </c>
      <c r="H5" s="47">
        <f t="shared" ref="H5:H14" si="3">G5</f>
        <v>0.21258695652173915</v>
      </c>
      <c r="I5" s="48" t="str">
        <f t="shared" ref="I5:I14" si="4">IF(E5&gt;1,"OVERLOAD",IF(E5&gt;0.5,"SEVERE",IF(E5&gt;0.25,"HIGH",IF(E5&gt;0.1,"MODERATE",IF(E5&gt;0.05,"LOW","MINIMAL")))))</f>
        <v>OVERLOAD</v>
      </c>
      <c r="J5" s="48" t="str">
        <f t="shared" ref="J5:J14" si="5">IF(MAX(B5,C5,D5/10)=B5,"W/K (scale)",IF(MAX(B5,C5,D5/10)=C5,"r (technology)","PF (peaking)"))</f>
        <v>r (technology)</v>
      </c>
      <c r="K5" s="16" t="s">
        <v>194</v>
      </c>
    </row>
    <row r="6" spans="1:11" ht="33.75" customHeight="1" x14ac:dyDescent="0.25">
      <c r="A6" s="36" t="str">
        <f>'1. Inputs'!A6</f>
        <v>Council Bluffs</v>
      </c>
      <c r="B6" s="40">
        <f>'1. Inputs'!F6/'1. Inputs'!J6</f>
        <v>0.12870724009802051</v>
      </c>
      <c r="C6" s="40">
        <f>'1. Inputs'!G6</f>
        <v>0.71599999999999997</v>
      </c>
      <c r="D6" s="42">
        <f>'1. Inputs'!K6</f>
        <v>6.5</v>
      </c>
      <c r="E6" s="40">
        <f t="shared" si="0"/>
        <v>0.59900349541618747</v>
      </c>
      <c r="F6" s="49">
        <f t="shared" si="1"/>
        <v>0.59900349541618747</v>
      </c>
      <c r="G6" s="40">
        <f t="shared" si="2"/>
        <v>9.2154383910182686E-2</v>
      </c>
      <c r="H6" s="49">
        <f t="shared" si="3"/>
        <v>9.2154383910182686E-2</v>
      </c>
      <c r="I6" s="50" t="str">
        <f t="shared" si="4"/>
        <v>SEVERE</v>
      </c>
      <c r="J6" s="50" t="str">
        <f t="shared" si="5"/>
        <v>r (technology)</v>
      </c>
      <c r="K6" s="44" t="s">
        <v>195</v>
      </c>
    </row>
    <row r="7" spans="1:11" ht="33.75" customHeight="1" x14ac:dyDescent="0.25">
      <c r="A7" s="17" t="str">
        <f>'1. Inputs'!A7</f>
        <v>Mayes County</v>
      </c>
      <c r="B7" s="28">
        <f>'1. Inputs'!F7/'1. Inputs'!J7</f>
        <v>0.3034381795455186</v>
      </c>
      <c r="C7" s="28">
        <f>'1. Inputs'!G7</f>
        <v>0.752</v>
      </c>
      <c r="D7" s="34">
        <f>'1. Inputs'!K7</f>
        <v>2.5</v>
      </c>
      <c r="E7" s="28">
        <f t="shared" si="0"/>
        <v>0.57046377754557498</v>
      </c>
      <c r="F7" s="47">
        <f t="shared" si="1"/>
        <v>0.57046377754557498</v>
      </c>
      <c r="G7" s="28">
        <f t="shared" si="2"/>
        <v>0.22818551101822998</v>
      </c>
      <c r="H7" s="47">
        <f t="shared" si="3"/>
        <v>0.22818551101822998</v>
      </c>
      <c r="I7" s="48" t="str">
        <f t="shared" si="4"/>
        <v>SEVERE</v>
      </c>
      <c r="J7" s="48" t="str">
        <f t="shared" si="5"/>
        <v>r (technology)</v>
      </c>
      <c r="K7" s="16" t="s">
        <v>196</v>
      </c>
    </row>
    <row r="8" spans="1:11" ht="33.75" customHeight="1" x14ac:dyDescent="0.25">
      <c r="A8" s="36" t="str">
        <f>'1. Inputs'!A8</f>
        <v>The Dalles</v>
      </c>
      <c r="B8" s="40">
        <f>'1. Inputs'!F8/'1. Inputs'!J8</f>
        <v>0.28054607024450207</v>
      </c>
      <c r="C8" s="40">
        <f>'1. Inputs'!G8</f>
        <v>0.78400000000000003</v>
      </c>
      <c r="D8" s="42">
        <f>'1. Inputs'!K8</f>
        <v>2.21</v>
      </c>
      <c r="E8" s="40">
        <f t="shared" si="0"/>
        <v>0.48608534314843405</v>
      </c>
      <c r="F8" s="49">
        <f t="shared" si="1"/>
        <v>0.48608534314843405</v>
      </c>
      <c r="G8" s="40">
        <f t="shared" si="2"/>
        <v>0.21994811907168962</v>
      </c>
      <c r="H8" s="49">
        <f t="shared" si="3"/>
        <v>0.21994811907168962</v>
      </c>
      <c r="I8" s="50" t="str">
        <f t="shared" si="4"/>
        <v>HIGH</v>
      </c>
      <c r="J8" s="50" t="str">
        <f t="shared" si="5"/>
        <v>r (technology)</v>
      </c>
      <c r="K8" s="44" t="s">
        <v>197</v>
      </c>
    </row>
    <row r="9" spans="1:11" ht="33.75" customHeight="1" x14ac:dyDescent="0.25">
      <c r="A9" s="17" t="str">
        <f>'1. Inputs'!A9</f>
        <v>Douglas County</v>
      </c>
      <c r="B9" s="28">
        <f>'1. Inputs'!F9/'1. Inputs'!J9</f>
        <v>0.15194872609350515</v>
      </c>
      <c r="C9" s="28">
        <f>'1. Inputs'!G9</f>
        <v>0.82599999999999996</v>
      </c>
      <c r="D9" s="34">
        <f>'1. Inputs'!K9</f>
        <v>2.5</v>
      </c>
      <c r="E9" s="28">
        <f t="shared" si="0"/>
        <v>0.31377411938308813</v>
      </c>
      <c r="F9" s="47">
        <f t="shared" si="1"/>
        <v>0.31377411938308813</v>
      </c>
      <c r="G9" s="28">
        <f t="shared" si="2"/>
        <v>0.12550964775323525</v>
      </c>
      <c r="H9" s="47">
        <f t="shared" si="3"/>
        <v>0.12550964775323525</v>
      </c>
      <c r="I9" s="48" t="str">
        <f t="shared" si="4"/>
        <v>HIGH</v>
      </c>
      <c r="J9" s="48" t="str">
        <f t="shared" si="5"/>
        <v>r (technology)</v>
      </c>
      <c r="K9" s="16" t="s">
        <v>198</v>
      </c>
    </row>
    <row r="10" spans="1:11" ht="33.75" customHeight="1" x14ac:dyDescent="0.25">
      <c r="A10" s="36" t="str">
        <f>'1. Inputs'!A10</f>
        <v>Wisconsin Site</v>
      </c>
      <c r="B10" s="40">
        <f>'1. Inputs'!F10/'1. Inputs'!J10</f>
        <v>1.15E-2</v>
      </c>
      <c r="C10" s="40">
        <f>'1. Inputs'!G10</f>
        <v>0.77</v>
      </c>
      <c r="D10" s="42">
        <f>'1. Inputs'!K10</f>
        <v>30</v>
      </c>
      <c r="E10" s="40">
        <f t="shared" si="0"/>
        <v>0.26565</v>
      </c>
      <c r="F10" s="49">
        <f t="shared" si="1"/>
        <v>0.26565</v>
      </c>
      <c r="G10" s="40">
        <f t="shared" si="2"/>
        <v>8.855E-3</v>
      </c>
      <c r="H10" s="49">
        <f t="shared" si="3"/>
        <v>8.855E-3</v>
      </c>
      <c r="I10" s="50" t="str">
        <f t="shared" si="4"/>
        <v>HIGH</v>
      </c>
      <c r="J10" s="50" t="str">
        <f t="shared" si="5"/>
        <v>PF (peaking)</v>
      </c>
      <c r="K10" s="44" t="s">
        <v>199</v>
      </c>
    </row>
    <row r="11" spans="1:11" ht="33.75" customHeight="1" x14ac:dyDescent="0.25">
      <c r="A11" s="17" t="str">
        <f>'1. Inputs'!A11</f>
        <v>Botetourt County</v>
      </c>
      <c r="B11" s="28">
        <f>'1. Inputs'!F11/'1. Inputs'!J11</f>
        <v>7.1428571428571425E-2</v>
      </c>
      <c r="C11" s="28">
        <f>'1. Inputs'!G11</f>
        <v>0.77</v>
      </c>
      <c r="D11" s="34">
        <f>'1. Inputs'!K11</f>
        <v>2.5</v>
      </c>
      <c r="E11" s="28">
        <f t="shared" si="0"/>
        <v>0.13750000000000001</v>
      </c>
      <c r="F11" s="47">
        <f t="shared" si="1"/>
        <v>0.13750000000000001</v>
      </c>
      <c r="G11" s="28">
        <f t="shared" si="2"/>
        <v>5.5E-2</v>
      </c>
      <c r="H11" s="47">
        <f t="shared" si="3"/>
        <v>5.5E-2</v>
      </c>
      <c r="I11" s="48" t="str">
        <f t="shared" si="4"/>
        <v>MODERATE</v>
      </c>
      <c r="J11" s="48" t="str">
        <f t="shared" si="5"/>
        <v>r (technology)</v>
      </c>
      <c r="K11" s="16" t="s">
        <v>200</v>
      </c>
    </row>
    <row r="12" spans="1:11" ht="33.75" customHeight="1" x14ac:dyDescent="0.25">
      <c r="A12" s="36" t="str">
        <f>'1. Inputs'!A12</f>
        <v>Memphis</v>
      </c>
      <c r="B12" s="40">
        <f>'1. Inputs'!F12/'1. Inputs'!J12</f>
        <v>3.875968992248062E-3</v>
      </c>
      <c r="C12" s="40">
        <f>'1. Inputs'!G12</f>
        <v>0.77</v>
      </c>
      <c r="D12" s="42">
        <f>'1. Inputs'!K12</f>
        <v>4.5</v>
      </c>
      <c r="E12" s="40">
        <f t="shared" si="0"/>
        <v>1.3430232558139535E-2</v>
      </c>
      <c r="F12" s="49">
        <f t="shared" si="1"/>
        <v>1.3430232558139535E-2</v>
      </c>
      <c r="G12" s="40">
        <f t="shared" si="2"/>
        <v>2.9844961240310078E-3</v>
      </c>
      <c r="H12" s="49">
        <f t="shared" si="3"/>
        <v>2.9844961240310078E-3</v>
      </c>
      <c r="I12" s="50" t="str">
        <f t="shared" si="4"/>
        <v>MINIMAL</v>
      </c>
      <c r="J12" s="50" t="str">
        <f t="shared" si="5"/>
        <v>r (technology)</v>
      </c>
      <c r="K12" s="44" t="s">
        <v>201</v>
      </c>
    </row>
    <row r="13" spans="1:11" ht="33.75" customHeight="1" x14ac:dyDescent="0.25">
      <c r="A13" s="17" t="str">
        <f>'1. Inputs'!A13</f>
        <v>Midlothian</v>
      </c>
      <c r="B13" s="28">
        <f>'1. Inputs'!F13/'1. Inputs'!J13</f>
        <v>1.6807851787922545E-2</v>
      </c>
      <c r="C13" s="28">
        <f>'1. Inputs'!G13</f>
        <v>0.82499999999999996</v>
      </c>
      <c r="D13" s="34">
        <f>'1. Inputs'!K13</f>
        <v>2.5</v>
      </c>
      <c r="E13" s="28">
        <f t="shared" si="0"/>
        <v>3.466619431259025E-2</v>
      </c>
      <c r="F13" s="47">
        <f t="shared" si="1"/>
        <v>3.466619431259025E-2</v>
      </c>
      <c r="G13" s="28">
        <f t="shared" si="2"/>
        <v>1.3866477725036099E-2</v>
      </c>
      <c r="H13" s="47">
        <f t="shared" si="3"/>
        <v>1.3866477725036099E-2</v>
      </c>
      <c r="I13" s="48" t="str">
        <f t="shared" si="4"/>
        <v>MINIMAL</v>
      </c>
      <c r="J13" s="48" t="str">
        <f t="shared" si="5"/>
        <v>r (technology)</v>
      </c>
      <c r="K13" s="16" t="s">
        <v>202</v>
      </c>
    </row>
    <row r="14" spans="1:11" ht="33.75" customHeight="1" x14ac:dyDescent="0.25">
      <c r="A14" s="36" t="str">
        <f>'1. Inputs'!A14</f>
        <v>Henderson</v>
      </c>
      <c r="B14" s="40">
        <f>'1. Inputs'!F14/'1. Inputs'!J14</f>
        <v>1.0951020622233828E-3</v>
      </c>
      <c r="C14" s="40">
        <f>'1. Inputs'!G14</f>
        <v>0.57599999999999996</v>
      </c>
      <c r="D14" s="42">
        <f>'1. Inputs'!K14</f>
        <v>2.5</v>
      </c>
      <c r="E14" s="40">
        <f t="shared" si="0"/>
        <v>1.5769469696016712E-3</v>
      </c>
      <c r="F14" s="49">
        <f t="shared" si="1"/>
        <v>1.5769469696016712E-3</v>
      </c>
      <c r="G14" s="40">
        <f t="shared" si="2"/>
        <v>6.3077878784066849E-4</v>
      </c>
      <c r="H14" s="49">
        <f t="shared" si="3"/>
        <v>6.3077878784066849E-4</v>
      </c>
      <c r="I14" s="50" t="str">
        <f t="shared" si="4"/>
        <v>MINIMAL</v>
      </c>
      <c r="J14" s="50" t="str">
        <f t="shared" si="5"/>
        <v>r (technology)</v>
      </c>
      <c r="K14" s="44" t="s">
        <v>203</v>
      </c>
    </row>
    <row r="16" spans="1:11" ht="18" customHeight="1" x14ac:dyDescent="0.25">
      <c r="A16" s="10" t="s">
        <v>204</v>
      </c>
      <c r="B16" s="10"/>
      <c r="C16" s="10"/>
      <c r="D16" s="10"/>
      <c r="E16" s="10"/>
      <c r="F16" s="10"/>
      <c r="G16" s="10"/>
      <c r="H16" s="10"/>
      <c r="I16" s="10"/>
      <c r="J16" s="10"/>
      <c r="K16" s="10"/>
    </row>
    <row r="17" spans="1:11" ht="21.75" customHeight="1" x14ac:dyDescent="0.25">
      <c r="A17" s="18" t="s">
        <v>205</v>
      </c>
      <c r="B17" s="7" t="s">
        <v>206</v>
      </c>
      <c r="C17" s="7"/>
      <c r="D17" s="7"/>
      <c r="E17" s="6" t="s">
        <v>207</v>
      </c>
      <c r="F17" s="6"/>
      <c r="G17" s="6"/>
      <c r="H17" s="6"/>
      <c r="I17" s="6"/>
      <c r="J17" s="6"/>
      <c r="K17" s="6"/>
    </row>
    <row r="18" spans="1:11" ht="21.75" customHeight="1" x14ac:dyDescent="0.25">
      <c r="A18" s="18" t="s">
        <v>208</v>
      </c>
      <c r="B18" s="7" t="s">
        <v>209</v>
      </c>
      <c r="C18" s="7"/>
      <c r="D18" s="7"/>
      <c r="E18" s="6" t="s">
        <v>210</v>
      </c>
      <c r="F18" s="6"/>
      <c r="G18" s="6"/>
      <c r="H18" s="6"/>
      <c r="I18" s="6"/>
      <c r="J18" s="6"/>
      <c r="K18" s="6"/>
    </row>
    <row r="19" spans="1:11" ht="21.75" customHeight="1" x14ac:dyDescent="0.25">
      <c r="A19" s="18" t="s">
        <v>211</v>
      </c>
      <c r="B19" s="7" t="s">
        <v>212</v>
      </c>
      <c r="C19" s="7"/>
      <c r="D19" s="7"/>
      <c r="E19" s="6" t="s">
        <v>213</v>
      </c>
      <c r="F19" s="6"/>
      <c r="G19" s="6"/>
      <c r="H19" s="6"/>
      <c r="I19" s="6"/>
      <c r="J19" s="6"/>
      <c r="K19" s="6"/>
    </row>
    <row r="20" spans="1:11" ht="21.75" customHeight="1" x14ac:dyDescent="0.25">
      <c r="A20" s="18" t="s">
        <v>214</v>
      </c>
      <c r="B20" s="7" t="s">
        <v>215</v>
      </c>
      <c r="C20" s="7"/>
      <c r="D20" s="7"/>
      <c r="E20" s="6" t="s">
        <v>216</v>
      </c>
      <c r="F20" s="6"/>
      <c r="G20" s="6"/>
      <c r="H20" s="6"/>
      <c r="I20" s="6"/>
      <c r="J20" s="6"/>
      <c r="K20" s="6"/>
    </row>
    <row r="21" spans="1:11" ht="21.75" customHeight="1" x14ac:dyDescent="0.25">
      <c r="A21" s="18" t="s">
        <v>217</v>
      </c>
      <c r="B21" s="7" t="s">
        <v>218</v>
      </c>
      <c r="C21" s="7"/>
      <c r="D21" s="7"/>
      <c r="E21" s="6" t="s">
        <v>219</v>
      </c>
      <c r="F21" s="6"/>
      <c r="G21" s="6"/>
      <c r="H21" s="6"/>
      <c r="I21" s="6"/>
      <c r="J21" s="6"/>
      <c r="K21" s="6"/>
    </row>
    <row r="22" spans="1:11" ht="21.75" customHeight="1" x14ac:dyDescent="0.25">
      <c r="A22" s="18" t="s">
        <v>220</v>
      </c>
      <c r="B22" s="7" t="s">
        <v>221</v>
      </c>
      <c r="C22" s="7"/>
      <c r="D22" s="7"/>
      <c r="E22" s="6" t="s">
        <v>222</v>
      </c>
      <c r="F22" s="6"/>
      <c r="G22" s="6"/>
      <c r="H22" s="6"/>
      <c r="I22" s="6"/>
      <c r="J22" s="6"/>
      <c r="K22" s="6"/>
    </row>
  </sheetData>
  <mergeCells count="15">
    <mergeCell ref="B21:D21"/>
    <mergeCell ref="E21:K21"/>
    <mergeCell ref="B22:D22"/>
    <mergeCell ref="E22:K22"/>
    <mergeCell ref="B18:D18"/>
    <mergeCell ref="E18:K18"/>
    <mergeCell ref="B19:D19"/>
    <mergeCell ref="E19:K19"/>
    <mergeCell ref="B20:D20"/>
    <mergeCell ref="E20:K20"/>
    <mergeCell ref="A1:K1"/>
    <mergeCell ref="A2:K2"/>
    <mergeCell ref="A16:K16"/>
    <mergeCell ref="B17:D17"/>
    <mergeCell ref="E17:K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
  <sheetViews>
    <sheetView showGridLines="0" zoomScaleNormal="100" workbookViewId="0">
      <pane ySplit="4" topLeftCell="A5" activePane="bottomLeft" state="frozen"/>
      <selection pane="bottomLeft" sqref="A1:J1"/>
    </sheetView>
  </sheetViews>
  <sheetFormatPr defaultColWidth="8.7109375" defaultRowHeight="15" customHeight="1" x14ac:dyDescent="0.25"/>
  <cols>
    <col min="1" max="1" width="18" customWidth="1"/>
    <col min="2" max="2" width="13" customWidth="1"/>
    <col min="3" max="3" width="15" customWidth="1"/>
    <col min="4" max="4" width="18" customWidth="1"/>
    <col min="5" max="6" width="16" customWidth="1"/>
    <col min="7" max="7" width="18" customWidth="1"/>
    <col min="8" max="8" width="16" customWidth="1"/>
    <col min="9" max="9" width="18" customWidth="1"/>
    <col min="10" max="10" width="60" customWidth="1"/>
  </cols>
  <sheetData>
    <row r="1" spans="1:10" ht="25.5" customHeight="1" x14ac:dyDescent="0.25">
      <c r="A1" s="12" t="s">
        <v>223</v>
      </c>
      <c r="B1" s="12"/>
      <c r="C1" s="12"/>
      <c r="D1" s="12"/>
      <c r="E1" s="12"/>
      <c r="F1" s="12"/>
      <c r="G1" s="12"/>
      <c r="H1" s="12"/>
      <c r="I1" s="12"/>
      <c r="J1" s="12"/>
    </row>
    <row r="2" spans="1:10" ht="19.5" customHeight="1" x14ac:dyDescent="0.25">
      <c r="A2" s="11" t="s">
        <v>224</v>
      </c>
      <c r="B2" s="11"/>
      <c r="C2" s="11"/>
      <c r="D2" s="11"/>
      <c r="E2" s="11"/>
      <c r="F2" s="11"/>
      <c r="G2" s="11"/>
      <c r="H2" s="11"/>
      <c r="I2" s="11"/>
      <c r="J2" s="11"/>
    </row>
    <row r="4" spans="1:10" ht="33.75" customHeight="1" x14ac:dyDescent="0.25">
      <c r="A4" s="13" t="s">
        <v>115</v>
      </c>
      <c r="B4" s="13" t="s">
        <v>122</v>
      </c>
      <c r="C4" s="13" t="s">
        <v>225</v>
      </c>
      <c r="D4" s="13" t="s">
        <v>226</v>
      </c>
      <c r="E4" s="13" t="s">
        <v>126</v>
      </c>
      <c r="F4" s="13" t="s">
        <v>227</v>
      </c>
      <c r="G4" s="13" t="s">
        <v>228</v>
      </c>
      <c r="H4" s="13" t="s">
        <v>229</v>
      </c>
      <c r="I4" s="13" t="s">
        <v>230</v>
      </c>
      <c r="J4" s="13" t="s">
        <v>193</v>
      </c>
    </row>
    <row r="5" spans="1:10" ht="36" customHeight="1" x14ac:dyDescent="0.25">
      <c r="A5" s="17" t="str">
        <f>'1. Inputs'!A5</f>
        <v>Lebanon</v>
      </c>
      <c r="B5" s="28">
        <f>'1. Inputs'!H5</f>
        <v>3.7017524390000003</v>
      </c>
      <c r="C5" s="51">
        <f t="shared" ref="C5:C14" si="0">B5*365.25</f>
        <v>1352.0650783447502</v>
      </c>
      <c r="D5" s="51">
        <f t="shared" ref="D5:D14" si="1">C5/0.4146</f>
        <v>3261.1313997702609</v>
      </c>
      <c r="E5" s="51">
        <f>'1. Inputs'!M5</f>
        <v>18000</v>
      </c>
      <c r="F5" s="52">
        <v>3.0299999999999999E-4</v>
      </c>
      <c r="G5" s="28">
        <f t="shared" ref="G5:G14" si="2">E5*F5</f>
        <v>5.4539999999999997</v>
      </c>
      <c r="H5" s="47">
        <f t="shared" ref="H5:H14" si="3">B5/G5</f>
        <v>0.6787224860652733</v>
      </c>
      <c r="I5" s="51">
        <f t="shared" ref="I5:I14" si="4">B5/F5</f>
        <v>12217.004749174919</v>
      </c>
      <c r="J5" s="16" t="s">
        <v>231</v>
      </c>
    </row>
    <row r="6" spans="1:10" ht="36" customHeight="1" x14ac:dyDescent="0.25">
      <c r="A6" s="36" t="str">
        <f>'1. Inputs'!A6</f>
        <v>Council Bluffs</v>
      </c>
      <c r="B6" s="40">
        <f>'1. Inputs'!H6</f>
        <v>10.46526379192334</v>
      </c>
      <c r="C6" s="53">
        <f t="shared" si="0"/>
        <v>3822.4375999999997</v>
      </c>
      <c r="D6" s="53">
        <f t="shared" si="1"/>
        <v>9219.5793535938246</v>
      </c>
      <c r="E6" s="53">
        <f>'1. Inputs'!M6</f>
        <v>63000</v>
      </c>
      <c r="F6" s="54">
        <v>3.0299999999999999E-4</v>
      </c>
      <c r="G6" s="40">
        <f t="shared" si="2"/>
        <v>19.088999999999999</v>
      </c>
      <c r="H6" s="49">
        <f t="shared" si="3"/>
        <v>0.5482353078696286</v>
      </c>
      <c r="I6" s="53">
        <f t="shared" si="4"/>
        <v>34538.8243957866</v>
      </c>
      <c r="J6" s="44" t="s">
        <v>232</v>
      </c>
    </row>
    <row r="7" spans="1:10" ht="36" customHeight="1" x14ac:dyDescent="0.25">
      <c r="A7" s="17" t="str">
        <f>'1. Inputs'!A7</f>
        <v>Mayes County</v>
      </c>
      <c r="B7" s="28">
        <f>'1. Inputs'!H7</f>
        <v>8.6377571526351797</v>
      </c>
      <c r="C7" s="51">
        <f t="shared" si="0"/>
        <v>3154.9407999999994</v>
      </c>
      <c r="D7" s="51">
        <f t="shared" si="1"/>
        <v>7609.6015436565349</v>
      </c>
      <c r="E7" s="51">
        <f>'1. Inputs'!M7</f>
        <v>41000</v>
      </c>
      <c r="F7" s="52">
        <v>3.0299999999999999E-4</v>
      </c>
      <c r="G7" s="28">
        <f t="shared" si="2"/>
        <v>12.423</v>
      </c>
      <c r="H7" s="47">
        <f t="shared" si="3"/>
        <v>0.69530364264953548</v>
      </c>
      <c r="I7" s="51">
        <f t="shared" si="4"/>
        <v>28507.449348630958</v>
      </c>
      <c r="J7" s="16" t="s">
        <v>233</v>
      </c>
    </row>
    <row r="8" spans="1:10" ht="36" customHeight="1" x14ac:dyDescent="0.25">
      <c r="A8" s="36" t="str">
        <f>'1. Inputs'!A8</f>
        <v>The Dalles</v>
      </c>
      <c r="B8" s="40">
        <f>'1. Inputs'!H8</f>
        <v>3.746672142368241</v>
      </c>
      <c r="C8" s="53">
        <f t="shared" si="0"/>
        <v>1368.472</v>
      </c>
      <c r="D8" s="53">
        <f t="shared" si="1"/>
        <v>3300.7042932947415</v>
      </c>
      <c r="E8" s="53">
        <f>'1. Inputs'!M8</f>
        <v>16000</v>
      </c>
      <c r="F8" s="54">
        <v>3.0299999999999999E-4</v>
      </c>
      <c r="G8" s="40">
        <f t="shared" si="2"/>
        <v>4.8479999999999999</v>
      </c>
      <c r="H8" s="49">
        <f t="shared" si="3"/>
        <v>0.77282841220467025</v>
      </c>
      <c r="I8" s="53">
        <f t="shared" si="4"/>
        <v>12365.254595274722</v>
      </c>
      <c r="J8" s="44" t="s">
        <v>234</v>
      </c>
    </row>
    <row r="9" spans="1:10" ht="36" customHeight="1" x14ac:dyDescent="0.25">
      <c r="A9" s="17" t="str">
        <f>'1. Inputs'!A9</f>
        <v>Douglas County</v>
      </c>
      <c r="B9" s="28">
        <f>'1. Inputs'!H9</f>
        <v>3.8008438056125939</v>
      </c>
      <c r="C9" s="51">
        <f t="shared" si="0"/>
        <v>1388.2582</v>
      </c>
      <c r="D9" s="51">
        <f t="shared" si="1"/>
        <v>3348.4278822961887</v>
      </c>
      <c r="E9" s="51">
        <f>'1. Inputs'!M9</f>
        <v>146000</v>
      </c>
      <c r="F9" s="52">
        <v>3.0299999999999999E-4</v>
      </c>
      <c r="G9" s="28">
        <f t="shared" si="2"/>
        <v>44.238</v>
      </c>
      <c r="H9" s="47">
        <f t="shared" si="3"/>
        <v>8.5918075085053433E-2</v>
      </c>
      <c r="I9" s="51">
        <f t="shared" si="4"/>
        <v>12544.038962417802</v>
      </c>
      <c r="J9" s="16" t="s">
        <v>235</v>
      </c>
    </row>
    <row r="10" spans="1:10" ht="36" customHeight="1" x14ac:dyDescent="0.25">
      <c r="A10" s="36" t="str">
        <f>'1. Inputs'!A10</f>
        <v>Wisconsin Site</v>
      </c>
      <c r="B10" s="40">
        <f>'1. Inputs'!H10</f>
        <v>6.7039611099999993E-2</v>
      </c>
      <c r="C10" s="53">
        <f t="shared" si="0"/>
        <v>24.486217954274998</v>
      </c>
      <c r="D10" s="53">
        <f t="shared" si="1"/>
        <v>59.059859995839354</v>
      </c>
      <c r="E10" s="53">
        <f>'1. Inputs'!M10</f>
        <v>12000</v>
      </c>
      <c r="F10" s="54">
        <v>3.0299999999999999E-4</v>
      </c>
      <c r="G10" s="40">
        <f t="shared" si="2"/>
        <v>3.6360000000000001</v>
      </c>
      <c r="H10" s="49">
        <f t="shared" si="3"/>
        <v>1.8437736826182615E-2</v>
      </c>
      <c r="I10" s="53">
        <f t="shared" si="4"/>
        <v>221.25284191419141</v>
      </c>
      <c r="J10" s="44" t="s">
        <v>236</v>
      </c>
    </row>
    <row r="11" spans="1:10" ht="36" customHeight="1" x14ac:dyDescent="0.25">
      <c r="A11" s="17" t="str">
        <f>'1. Inputs'!A11</f>
        <v>Botetourt County</v>
      </c>
      <c r="B11" s="28">
        <f>'1. Inputs'!H11</f>
        <v>5.8295314000000005</v>
      </c>
      <c r="C11" s="51">
        <f t="shared" si="0"/>
        <v>2129.2363438500001</v>
      </c>
      <c r="D11" s="51">
        <f t="shared" si="1"/>
        <v>5135.6399996382052</v>
      </c>
      <c r="E11" s="51">
        <f>'1. Inputs'!M11</f>
        <v>34000</v>
      </c>
      <c r="F11" s="52">
        <v>3.0299999999999999E-4</v>
      </c>
      <c r="G11" s="28">
        <f t="shared" si="2"/>
        <v>10.302</v>
      </c>
      <c r="H11" s="47">
        <f t="shared" si="3"/>
        <v>0.56586404581634642</v>
      </c>
      <c r="I11" s="51">
        <f t="shared" si="4"/>
        <v>19239.377557755779</v>
      </c>
      <c r="J11" s="16" t="s">
        <v>237</v>
      </c>
    </row>
    <row r="12" spans="1:10" ht="36" customHeight="1" x14ac:dyDescent="0.25">
      <c r="A12" s="36" t="str">
        <f>'1. Inputs'!A12</f>
        <v>Memphis</v>
      </c>
      <c r="B12" s="40">
        <f>'1. Inputs'!H12</f>
        <v>2.9147657000000002</v>
      </c>
      <c r="C12" s="53">
        <f t="shared" si="0"/>
        <v>1064.6181719250001</v>
      </c>
      <c r="D12" s="53">
        <f t="shared" si="1"/>
        <v>2567.8199998191026</v>
      </c>
      <c r="E12" s="53">
        <f>'1. Inputs'!M12</f>
        <v>630000</v>
      </c>
      <c r="F12" s="54">
        <v>3.0299999999999999E-4</v>
      </c>
      <c r="G12" s="40">
        <f t="shared" si="2"/>
        <v>190.89</v>
      </c>
      <c r="H12" s="49">
        <f t="shared" si="3"/>
        <v>1.5269347268060141E-2</v>
      </c>
      <c r="I12" s="53">
        <f t="shared" si="4"/>
        <v>9619.6887788778895</v>
      </c>
      <c r="J12" s="44" t="s">
        <v>238</v>
      </c>
    </row>
    <row r="13" spans="1:10" ht="36" customHeight="1" x14ac:dyDescent="0.25">
      <c r="A13" s="17" t="str">
        <f>'1. Inputs'!A13</f>
        <v>Midlothian</v>
      </c>
      <c r="B13" s="28">
        <f>'1. Inputs'!H13</f>
        <v>1.8896509240246404</v>
      </c>
      <c r="C13" s="51">
        <f t="shared" si="0"/>
        <v>690.19499999999994</v>
      </c>
      <c r="D13" s="51">
        <f t="shared" si="1"/>
        <v>1664.7250361794497</v>
      </c>
      <c r="E13" s="51">
        <f>'1. Inputs'!M13</f>
        <v>40000</v>
      </c>
      <c r="F13" s="52">
        <v>3.0299999999999999E-4</v>
      </c>
      <c r="G13" s="28">
        <f t="shared" si="2"/>
        <v>12.12</v>
      </c>
      <c r="H13" s="47">
        <f t="shared" si="3"/>
        <v>0.15591179241127398</v>
      </c>
      <c r="I13" s="51">
        <f t="shared" si="4"/>
        <v>6236.4716964509589</v>
      </c>
      <c r="J13" s="16" t="s">
        <v>239</v>
      </c>
    </row>
    <row r="14" spans="1:10" ht="36" customHeight="1" x14ac:dyDescent="0.25">
      <c r="A14" s="36" t="str">
        <f>'1. Inputs'!A14</f>
        <v>Henderson</v>
      </c>
      <c r="B14" s="40">
        <f>'1. Inputs'!H14</f>
        <v>2.1489806981519504</v>
      </c>
      <c r="C14" s="53">
        <f t="shared" si="0"/>
        <v>784.91519999999991</v>
      </c>
      <c r="D14" s="53">
        <f t="shared" si="1"/>
        <v>1893.1866859623731</v>
      </c>
      <c r="E14" s="53">
        <f>'1. Inputs'!M14</f>
        <v>320000</v>
      </c>
      <c r="F14" s="54">
        <v>3.0299999999999999E-4</v>
      </c>
      <c r="G14" s="40">
        <f t="shared" si="2"/>
        <v>96.96</v>
      </c>
      <c r="H14" s="49">
        <f t="shared" si="3"/>
        <v>2.2163579807672758E-2</v>
      </c>
      <c r="I14" s="53">
        <f t="shared" si="4"/>
        <v>7092.3455384552817</v>
      </c>
      <c r="J14" s="44" t="s">
        <v>240</v>
      </c>
    </row>
    <row r="16" spans="1:10" ht="18" customHeight="1" x14ac:dyDescent="0.25">
      <c r="A16" s="10" t="s">
        <v>241</v>
      </c>
      <c r="B16" s="10"/>
      <c r="C16" s="10"/>
      <c r="D16" s="10"/>
      <c r="E16" s="10"/>
      <c r="F16" s="10"/>
      <c r="G16" s="10"/>
      <c r="H16" s="10"/>
      <c r="I16" s="10"/>
      <c r="J16" s="10"/>
    </row>
    <row r="17" spans="1:10" ht="19.5" customHeight="1" x14ac:dyDescent="0.25">
      <c r="A17" s="5" t="s">
        <v>242</v>
      </c>
      <c r="B17" s="5"/>
      <c r="C17" s="5"/>
      <c r="D17" s="4" t="s">
        <v>243</v>
      </c>
      <c r="E17" s="4"/>
      <c r="F17" s="4"/>
      <c r="G17" s="3" t="s">
        <v>244</v>
      </c>
      <c r="H17" s="3"/>
      <c r="I17" s="3"/>
      <c r="J17" s="3"/>
    </row>
    <row r="18" spans="1:10" ht="19.5" customHeight="1" x14ac:dyDescent="0.25">
      <c r="A18" s="5" t="s">
        <v>245</v>
      </c>
      <c r="B18" s="5"/>
      <c r="C18" s="5"/>
      <c r="D18" s="4" t="s">
        <v>246</v>
      </c>
      <c r="E18" s="4"/>
      <c r="F18" s="4"/>
      <c r="G18" s="3" t="s">
        <v>244</v>
      </c>
      <c r="H18" s="3"/>
      <c r="I18" s="3"/>
      <c r="J18" s="3"/>
    </row>
  </sheetData>
  <mergeCells count="9">
    <mergeCell ref="A18:C18"/>
    <mergeCell ref="D18:F18"/>
    <mergeCell ref="G18:J18"/>
    <mergeCell ref="A1:J1"/>
    <mergeCell ref="A2:J2"/>
    <mergeCell ref="A16:J16"/>
    <mergeCell ref="A17:C17"/>
    <mergeCell ref="D17:F17"/>
    <mergeCell ref="G17:J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2"/>
  <sheetViews>
    <sheetView showGridLines="0" zoomScaleNormal="100" workbookViewId="0">
      <pane xSplit="2" ySplit="6" topLeftCell="C7" activePane="bottomRight" state="frozen"/>
      <selection pane="topRight" activeCell="C1" sqref="C1"/>
      <selection pane="bottomLeft" activeCell="A7" sqref="A7"/>
      <selection pane="bottomRight" sqref="A1:O1"/>
    </sheetView>
  </sheetViews>
  <sheetFormatPr defaultColWidth="8.7109375" defaultRowHeight="15" customHeight="1" x14ac:dyDescent="0.25"/>
  <cols>
    <col min="1" max="1" width="18" customWidth="1"/>
    <col min="2" max="2" width="11" customWidth="1"/>
    <col min="3" max="14" width="9" customWidth="1"/>
    <col min="15" max="15" width="14" customWidth="1"/>
  </cols>
  <sheetData>
    <row r="1" spans="1:15" ht="25.5" customHeight="1" x14ac:dyDescent="0.25">
      <c r="A1" s="12" t="s">
        <v>247</v>
      </c>
      <c r="B1" s="12"/>
      <c r="C1" s="12"/>
      <c r="D1" s="12"/>
      <c r="E1" s="12"/>
      <c r="F1" s="12"/>
      <c r="G1" s="12"/>
      <c r="H1" s="12"/>
      <c r="I1" s="12"/>
      <c r="J1" s="12"/>
      <c r="K1" s="12"/>
      <c r="L1" s="12"/>
      <c r="M1" s="12"/>
      <c r="N1" s="12"/>
      <c r="O1" s="12"/>
    </row>
    <row r="2" spans="1:15" ht="19.5" customHeight="1" x14ac:dyDescent="0.25">
      <c r="A2" s="11" t="s">
        <v>248</v>
      </c>
      <c r="B2" s="11"/>
      <c r="C2" s="11"/>
      <c r="D2" s="11"/>
      <c r="E2" s="11"/>
      <c r="F2" s="11"/>
      <c r="G2" s="11"/>
      <c r="H2" s="11"/>
      <c r="I2" s="11"/>
      <c r="J2" s="11"/>
      <c r="K2" s="11"/>
      <c r="L2" s="11"/>
      <c r="M2" s="11"/>
      <c r="N2" s="11"/>
      <c r="O2" s="11"/>
    </row>
    <row r="4" spans="1:15" ht="18" customHeight="1" x14ac:dyDescent="0.25">
      <c r="A4" s="10" t="s">
        <v>249</v>
      </c>
      <c r="B4" s="10"/>
      <c r="C4" s="10"/>
      <c r="D4" s="10"/>
      <c r="E4" s="10"/>
      <c r="F4" s="10"/>
      <c r="G4" s="10"/>
      <c r="H4" s="10"/>
      <c r="I4" s="10"/>
      <c r="J4" s="10"/>
      <c r="K4" s="10"/>
      <c r="L4" s="10"/>
      <c r="M4" s="10"/>
      <c r="N4" s="10"/>
      <c r="O4" s="10"/>
    </row>
    <row r="5" spans="1:15" ht="19.5" customHeight="1" x14ac:dyDescent="0.25">
      <c r="A5" s="55" t="s">
        <v>250</v>
      </c>
      <c r="B5" s="2">
        <v>0.24</v>
      </c>
      <c r="C5" s="2"/>
      <c r="D5" s="1" t="s">
        <v>251</v>
      </c>
      <c r="E5" s="1"/>
      <c r="F5" s="1"/>
      <c r="G5" s="1"/>
      <c r="H5" s="1"/>
      <c r="I5" s="1"/>
      <c r="J5" s="1"/>
      <c r="K5" s="1"/>
      <c r="L5" s="1"/>
      <c r="M5" s="1"/>
      <c r="N5" s="1"/>
      <c r="O5" s="1"/>
    </row>
    <row r="6" spans="1:15" ht="19.5" customHeight="1" x14ac:dyDescent="0.25">
      <c r="A6" s="55" t="s">
        <v>252</v>
      </c>
      <c r="B6" s="2">
        <v>0.13</v>
      </c>
      <c r="C6" s="2"/>
      <c r="D6" s="1" t="s">
        <v>253</v>
      </c>
      <c r="E6" s="1"/>
      <c r="F6" s="1"/>
      <c r="G6" s="1"/>
      <c r="H6" s="1"/>
      <c r="I6" s="1"/>
      <c r="J6" s="1"/>
      <c r="K6" s="1"/>
      <c r="L6" s="1"/>
      <c r="M6" s="1"/>
      <c r="N6" s="1"/>
      <c r="O6" s="1"/>
    </row>
    <row r="8" spans="1:15" ht="18" customHeight="1" x14ac:dyDescent="0.25">
      <c r="A8" s="10" t="s">
        <v>254</v>
      </c>
      <c r="B8" s="10"/>
      <c r="C8" s="10"/>
      <c r="D8" s="10"/>
      <c r="E8" s="10"/>
      <c r="F8" s="10"/>
      <c r="G8" s="10"/>
      <c r="H8" s="10"/>
      <c r="I8" s="10"/>
      <c r="J8" s="10"/>
      <c r="K8" s="10"/>
      <c r="L8" s="10"/>
      <c r="M8" s="10"/>
      <c r="N8" s="10"/>
      <c r="O8" s="10"/>
    </row>
    <row r="9" spans="1:15" ht="30" customHeight="1" x14ac:dyDescent="0.25">
      <c r="A9" s="13" t="s">
        <v>115</v>
      </c>
      <c r="B9" s="13" t="s">
        <v>255</v>
      </c>
      <c r="C9" s="56">
        <v>2024</v>
      </c>
      <c r="D9" s="56">
        <v>2025</v>
      </c>
      <c r="E9" s="56">
        <v>2026</v>
      </c>
      <c r="F9" s="56">
        <v>2027</v>
      </c>
      <c r="G9" s="56">
        <v>2028</v>
      </c>
      <c r="H9" s="56">
        <v>2029</v>
      </c>
      <c r="I9" s="56">
        <v>2030</v>
      </c>
      <c r="J9" s="56">
        <v>2031</v>
      </c>
      <c r="K9" s="56">
        <v>2032</v>
      </c>
      <c r="L9" s="56">
        <v>2033</v>
      </c>
      <c r="M9" s="56">
        <v>2034</v>
      </c>
      <c r="N9" s="56">
        <v>2035</v>
      </c>
      <c r="O9" s="13" t="s">
        <v>256</v>
      </c>
    </row>
    <row r="10" spans="1:15" ht="21.75" customHeight="1" x14ac:dyDescent="0.25">
      <c r="A10" s="17" t="str">
        <f>'2. WCI Decomposition'!A5</f>
        <v>Lebanon</v>
      </c>
      <c r="B10" s="28">
        <f>'2. WCI Decomposition'!E5</f>
        <v>1.3392978260869566</v>
      </c>
      <c r="C10" s="47">
        <f t="shared" ref="C10:C19" si="0">$B10*(1+$B$5)^0</f>
        <v>1.3392978260869566</v>
      </c>
      <c r="D10" s="47">
        <f t="shared" ref="D10:D19" si="1">$B10*(1+$B$5)^1</f>
        <v>1.6607293043478262</v>
      </c>
      <c r="E10" s="47">
        <f t="shared" ref="E10:E19" si="2">$B10*(1+$B$5)^2</f>
        <v>2.0593043373913047</v>
      </c>
      <c r="F10" s="47">
        <f t="shared" ref="F10:F19" si="3">$B10*(1+$B$5)^3</f>
        <v>2.5535373783652178</v>
      </c>
      <c r="G10" s="47">
        <f t="shared" ref="G10:G19" si="4">$B10*(1+$B$5)^4</f>
        <v>3.1663863491728699</v>
      </c>
      <c r="H10" s="47">
        <f t="shared" ref="H10:H19" si="5">$B10*(1+$B$5)^5</f>
        <v>3.9263190729743589</v>
      </c>
      <c r="I10" s="47">
        <f t="shared" ref="I10:I19" si="6">$B10*(1+$B$5)^6</f>
        <v>4.8686356504882049</v>
      </c>
      <c r="J10" s="47">
        <f t="shared" ref="J10:J19" si="7">$B10*(1+$B$5)^7</f>
        <v>6.0371082066053745</v>
      </c>
      <c r="K10" s="47">
        <f t="shared" ref="K10:K19" si="8">$B10*(1+$B$5)^8</f>
        <v>7.4860141761906638</v>
      </c>
      <c r="L10" s="47">
        <f t="shared" ref="L10:L19" si="9">$B10*(1+$B$5)^9</f>
        <v>9.2826575784764227</v>
      </c>
      <c r="M10" s="47">
        <f t="shared" ref="M10:M19" si="10">$B10*(1+$B$5)^10</f>
        <v>11.510495397310766</v>
      </c>
      <c r="N10" s="47">
        <f t="shared" ref="N10:N19" si="11">$B10*(1+$B$5)^11</f>
        <v>14.27301429266535</v>
      </c>
      <c r="O10" s="57">
        <f t="array" ref="O10">IFERROR(INDEX($C$9:$N$9,MATCH(TRUE(),INDEX(C10:N10&gt;=1,0),0)),"—")</f>
        <v>2024</v>
      </c>
    </row>
    <row r="11" spans="1:15" ht="21.75" customHeight="1" x14ac:dyDescent="0.25">
      <c r="A11" s="36" t="str">
        <f>'2. WCI Decomposition'!A6</f>
        <v>Council Bluffs</v>
      </c>
      <c r="B11" s="40">
        <f>'2. WCI Decomposition'!E6</f>
        <v>0.59900349541618747</v>
      </c>
      <c r="C11" s="49">
        <f t="shared" si="0"/>
        <v>0.59900349541618747</v>
      </c>
      <c r="D11" s="49">
        <f t="shared" si="1"/>
        <v>0.74276433431607247</v>
      </c>
      <c r="E11" s="49">
        <f t="shared" si="2"/>
        <v>0.92102777455192986</v>
      </c>
      <c r="F11" s="49">
        <f t="shared" si="3"/>
        <v>1.142074440444393</v>
      </c>
      <c r="G11" s="49">
        <f t="shared" si="4"/>
        <v>1.4161723061510474</v>
      </c>
      <c r="H11" s="49">
        <f t="shared" si="5"/>
        <v>1.7560536596272989</v>
      </c>
      <c r="I11" s="49">
        <f t="shared" si="6"/>
        <v>2.1775065379378504</v>
      </c>
      <c r="J11" s="49">
        <f t="shared" si="7"/>
        <v>2.7001081070429347</v>
      </c>
      <c r="K11" s="49">
        <f t="shared" si="8"/>
        <v>3.3481340527332391</v>
      </c>
      <c r="L11" s="49">
        <f t="shared" si="9"/>
        <v>4.1516862253892164</v>
      </c>
      <c r="M11" s="49">
        <f t="shared" si="10"/>
        <v>5.1480909194826294</v>
      </c>
      <c r="N11" s="49">
        <f t="shared" si="11"/>
        <v>6.3836327401584594</v>
      </c>
      <c r="O11" s="58">
        <f t="array" ref="O11">IFERROR(INDEX($C$9:$N$9,MATCH(TRUE(),INDEX(C11:N11&gt;=1,0),0)),"—")</f>
        <v>2027</v>
      </c>
    </row>
    <row r="12" spans="1:15" ht="21.75" customHeight="1" x14ac:dyDescent="0.25">
      <c r="A12" s="17" t="str">
        <f>'2. WCI Decomposition'!A7</f>
        <v>Mayes County</v>
      </c>
      <c r="B12" s="28">
        <f>'2. WCI Decomposition'!E7</f>
        <v>0.57046377754557498</v>
      </c>
      <c r="C12" s="47">
        <f t="shared" si="0"/>
        <v>0.57046377754557498</v>
      </c>
      <c r="D12" s="47">
        <f t="shared" si="1"/>
        <v>0.70737508415651296</v>
      </c>
      <c r="E12" s="47">
        <f t="shared" si="2"/>
        <v>0.87714510435407611</v>
      </c>
      <c r="F12" s="47">
        <f t="shared" si="3"/>
        <v>1.0876599293990543</v>
      </c>
      <c r="G12" s="47">
        <f t="shared" si="4"/>
        <v>1.3486983124548275</v>
      </c>
      <c r="H12" s="47">
        <f t="shared" si="5"/>
        <v>1.6723859074439862</v>
      </c>
      <c r="I12" s="47">
        <f t="shared" si="6"/>
        <v>2.0737585252305428</v>
      </c>
      <c r="J12" s="47">
        <f t="shared" si="7"/>
        <v>2.5714605712858734</v>
      </c>
      <c r="K12" s="47">
        <f t="shared" si="8"/>
        <v>3.1886111083944826</v>
      </c>
      <c r="L12" s="47">
        <f t="shared" si="9"/>
        <v>3.9538777744091584</v>
      </c>
      <c r="M12" s="47">
        <f t="shared" si="10"/>
        <v>4.9028084402673571</v>
      </c>
      <c r="N12" s="47">
        <f t="shared" si="11"/>
        <v>6.0794824659315223</v>
      </c>
      <c r="O12" s="57">
        <f t="array" ref="O12">IFERROR(INDEX($C$9:$N$9,MATCH(TRUE(),INDEX(C12:N12&gt;=1,0),0)),"—")</f>
        <v>2027</v>
      </c>
    </row>
    <row r="13" spans="1:15" ht="21.75" customHeight="1" x14ac:dyDescent="0.25">
      <c r="A13" s="36" t="str">
        <f>'2. WCI Decomposition'!A8</f>
        <v>The Dalles</v>
      </c>
      <c r="B13" s="40">
        <f>'2. WCI Decomposition'!E8</f>
        <v>0.48608534314843405</v>
      </c>
      <c r="C13" s="49">
        <f t="shared" si="0"/>
        <v>0.48608534314843405</v>
      </c>
      <c r="D13" s="49">
        <f t="shared" si="1"/>
        <v>0.6027458255040582</v>
      </c>
      <c r="E13" s="49">
        <f t="shared" si="2"/>
        <v>0.74740482362503224</v>
      </c>
      <c r="F13" s="49">
        <f t="shared" si="3"/>
        <v>0.92678198129503997</v>
      </c>
      <c r="G13" s="49">
        <f t="shared" si="4"/>
        <v>1.1492096568058496</v>
      </c>
      <c r="H13" s="49">
        <f t="shared" si="5"/>
        <v>1.4250199744392535</v>
      </c>
      <c r="I13" s="49">
        <f t="shared" si="6"/>
        <v>1.7670247683046743</v>
      </c>
      <c r="J13" s="49">
        <f t="shared" si="7"/>
        <v>2.1911107126977964</v>
      </c>
      <c r="K13" s="49">
        <f t="shared" si="8"/>
        <v>2.7169772837452673</v>
      </c>
      <c r="L13" s="49">
        <f t="shared" si="9"/>
        <v>3.3690518318441316</v>
      </c>
      <c r="M13" s="49">
        <f t="shared" si="10"/>
        <v>4.1776242714867236</v>
      </c>
      <c r="N13" s="49">
        <f t="shared" si="11"/>
        <v>5.1802540966435364</v>
      </c>
      <c r="O13" s="58">
        <f t="array" ref="O13">IFERROR(INDEX($C$9:$N$9,MATCH(TRUE(),INDEX(C13:N13&gt;=1,0),0)),"—")</f>
        <v>2028</v>
      </c>
    </row>
    <row r="14" spans="1:15" ht="21.75" customHeight="1" x14ac:dyDescent="0.25">
      <c r="A14" s="17" t="str">
        <f>'2. WCI Decomposition'!A9</f>
        <v>Douglas County</v>
      </c>
      <c r="B14" s="28">
        <f>'2. WCI Decomposition'!E9</f>
        <v>0.31377411938308813</v>
      </c>
      <c r="C14" s="47">
        <f t="shared" si="0"/>
        <v>0.31377411938308813</v>
      </c>
      <c r="D14" s="47">
        <f t="shared" si="1"/>
        <v>0.38907990803502929</v>
      </c>
      <c r="E14" s="47">
        <f t="shared" si="2"/>
        <v>0.48245908596343634</v>
      </c>
      <c r="F14" s="47">
        <f t="shared" si="3"/>
        <v>0.59824926659466104</v>
      </c>
      <c r="G14" s="47">
        <f t="shared" si="4"/>
        <v>0.74182909057737978</v>
      </c>
      <c r="H14" s="47">
        <f t="shared" si="5"/>
        <v>0.91986807231595091</v>
      </c>
      <c r="I14" s="47">
        <f t="shared" si="6"/>
        <v>1.1406364096717792</v>
      </c>
      <c r="J14" s="47">
        <f t="shared" si="7"/>
        <v>1.4143891479930062</v>
      </c>
      <c r="K14" s="47">
        <f t="shared" si="8"/>
        <v>1.7538425435113276</v>
      </c>
      <c r="L14" s="47">
        <f t="shared" si="9"/>
        <v>2.1747647539540464</v>
      </c>
      <c r="M14" s="47">
        <f t="shared" si="10"/>
        <v>2.6967082949030177</v>
      </c>
      <c r="N14" s="47">
        <f t="shared" si="11"/>
        <v>3.3439182856797416</v>
      </c>
      <c r="O14" s="57">
        <f t="array" ref="O14">IFERROR(INDEX($C$9:$N$9,MATCH(TRUE(),INDEX(C14:N14&gt;=1,0),0)),"—")</f>
        <v>2030</v>
      </c>
    </row>
    <row r="15" spans="1:15" ht="21.75" customHeight="1" x14ac:dyDescent="0.25">
      <c r="A15" s="36" t="str">
        <f>'2. WCI Decomposition'!A10</f>
        <v>Wisconsin Site</v>
      </c>
      <c r="B15" s="40">
        <f>'2. WCI Decomposition'!E10</f>
        <v>0.26565</v>
      </c>
      <c r="C15" s="49">
        <f t="shared" si="0"/>
        <v>0.26565</v>
      </c>
      <c r="D15" s="49">
        <f t="shared" si="1"/>
        <v>0.32940599999999998</v>
      </c>
      <c r="E15" s="49">
        <f t="shared" si="2"/>
        <v>0.40846344000000001</v>
      </c>
      <c r="F15" s="49">
        <f t="shared" si="3"/>
        <v>0.5064946656</v>
      </c>
      <c r="G15" s="49">
        <f t="shared" si="4"/>
        <v>0.62805338534400001</v>
      </c>
      <c r="H15" s="49">
        <f t="shared" si="5"/>
        <v>0.77878619782656</v>
      </c>
      <c r="I15" s="49">
        <f t="shared" si="6"/>
        <v>0.96569488530493452</v>
      </c>
      <c r="J15" s="49">
        <f t="shared" si="7"/>
        <v>1.1974616577781187</v>
      </c>
      <c r="K15" s="49">
        <f t="shared" si="8"/>
        <v>1.4848524556448672</v>
      </c>
      <c r="L15" s="49">
        <f t="shared" si="9"/>
        <v>1.8412170449996355</v>
      </c>
      <c r="M15" s="49">
        <f t="shared" si="10"/>
        <v>2.2831091357995481</v>
      </c>
      <c r="N15" s="49">
        <f t="shared" si="11"/>
        <v>2.8310553283914395</v>
      </c>
      <c r="O15" s="58">
        <f t="array" ref="O15">IFERROR(INDEX($C$9:$N$9,MATCH(TRUE(),INDEX(C15:N15&gt;=1,0),0)),"—")</f>
        <v>2031</v>
      </c>
    </row>
    <row r="16" spans="1:15" ht="21.75" customHeight="1" x14ac:dyDescent="0.25">
      <c r="A16" s="17" t="str">
        <f>'2. WCI Decomposition'!A11</f>
        <v>Botetourt County</v>
      </c>
      <c r="B16" s="28">
        <f>'2. WCI Decomposition'!E11</f>
        <v>0.13750000000000001</v>
      </c>
      <c r="C16" s="47">
        <f t="shared" si="0"/>
        <v>0.13750000000000001</v>
      </c>
      <c r="D16" s="47">
        <f t="shared" si="1"/>
        <v>0.17050000000000001</v>
      </c>
      <c r="E16" s="47">
        <f t="shared" si="2"/>
        <v>0.21142000000000002</v>
      </c>
      <c r="F16" s="47">
        <f t="shared" si="3"/>
        <v>0.26216080000000003</v>
      </c>
      <c r="G16" s="47">
        <f t="shared" si="4"/>
        <v>0.32507939200000002</v>
      </c>
      <c r="H16" s="47">
        <f t="shared" si="5"/>
        <v>0.40309844608000006</v>
      </c>
      <c r="I16" s="47">
        <f t="shared" si="6"/>
        <v>0.49984207313920009</v>
      </c>
      <c r="J16" s="47">
        <f t="shared" si="7"/>
        <v>0.61980417069260818</v>
      </c>
      <c r="K16" s="47">
        <f t="shared" si="8"/>
        <v>0.76855717165883408</v>
      </c>
      <c r="L16" s="47">
        <f t="shared" si="9"/>
        <v>0.95301089285695428</v>
      </c>
      <c r="M16" s="47">
        <f t="shared" si="10"/>
        <v>1.1817335071426234</v>
      </c>
      <c r="N16" s="47">
        <f t="shared" si="11"/>
        <v>1.4653495488568529</v>
      </c>
      <c r="O16" s="57">
        <f t="array" ref="O16">IFERROR(INDEX($C$9:$N$9,MATCH(TRUE(),INDEX(C16:N16&gt;=1,0),0)),"—")</f>
        <v>2034</v>
      </c>
    </row>
    <row r="17" spans="1:15" ht="21.75" customHeight="1" x14ac:dyDescent="0.25">
      <c r="A17" s="36" t="str">
        <f>'2. WCI Decomposition'!A12</f>
        <v>Memphis</v>
      </c>
      <c r="B17" s="40">
        <f>'2. WCI Decomposition'!E12</f>
        <v>1.3430232558139535E-2</v>
      </c>
      <c r="C17" s="49">
        <f t="shared" si="0"/>
        <v>1.3430232558139535E-2</v>
      </c>
      <c r="D17" s="49">
        <f t="shared" si="1"/>
        <v>1.6653488372093024E-2</v>
      </c>
      <c r="E17" s="49">
        <f t="shared" si="2"/>
        <v>2.0650325581395349E-2</v>
      </c>
      <c r="F17" s="49">
        <f t="shared" si="3"/>
        <v>2.5606403720930235E-2</v>
      </c>
      <c r="G17" s="49">
        <f t="shared" si="4"/>
        <v>3.1751940613953492E-2</v>
      </c>
      <c r="H17" s="49">
        <f t="shared" si="5"/>
        <v>3.9372406361302327E-2</v>
      </c>
      <c r="I17" s="49">
        <f t="shared" si="6"/>
        <v>4.8821783888014891E-2</v>
      </c>
      <c r="J17" s="49">
        <f t="shared" si="7"/>
        <v>6.0539012021138462E-2</v>
      </c>
      <c r="K17" s="49">
        <f t="shared" si="8"/>
        <v>7.5068374906211696E-2</v>
      </c>
      <c r="L17" s="49">
        <f t="shared" si="9"/>
        <v>9.3084784883702504E-2</v>
      </c>
      <c r="M17" s="49">
        <f t="shared" si="10"/>
        <v>0.11542513325579111</v>
      </c>
      <c r="N17" s="49">
        <f t="shared" si="11"/>
        <v>0.14312716523718097</v>
      </c>
      <c r="O17" s="58" t="str">
        <f t="array" ref="O17">IFERROR(INDEX($C$9:$N$9,MATCH(TRUE(),INDEX(C17:N17&gt;=1,0),0)),"—")</f>
        <v>—</v>
      </c>
    </row>
    <row r="18" spans="1:15" ht="21.75" customHeight="1" x14ac:dyDescent="0.25">
      <c r="A18" s="17" t="str">
        <f>'2. WCI Decomposition'!A13</f>
        <v>Midlothian</v>
      </c>
      <c r="B18" s="28">
        <f>'2. WCI Decomposition'!E13</f>
        <v>3.466619431259025E-2</v>
      </c>
      <c r="C18" s="47">
        <f t="shared" si="0"/>
        <v>3.466619431259025E-2</v>
      </c>
      <c r="D18" s="47">
        <f t="shared" si="1"/>
        <v>4.2986080947611909E-2</v>
      </c>
      <c r="E18" s="47">
        <f t="shared" si="2"/>
        <v>5.3302740375038772E-2</v>
      </c>
      <c r="F18" s="47">
        <f t="shared" si="3"/>
        <v>6.6095398065048078E-2</v>
      </c>
      <c r="G18" s="47">
        <f t="shared" si="4"/>
        <v>8.1958293600659621E-2</v>
      </c>
      <c r="H18" s="47">
        <f t="shared" si="5"/>
        <v>0.10162828406481793</v>
      </c>
      <c r="I18" s="47">
        <f t="shared" si="6"/>
        <v>0.12601907224037423</v>
      </c>
      <c r="J18" s="47">
        <f t="shared" si="7"/>
        <v>0.15626364957806405</v>
      </c>
      <c r="K18" s="47">
        <f t="shared" si="8"/>
        <v>0.19376692547679941</v>
      </c>
      <c r="L18" s="47">
        <f t="shared" si="9"/>
        <v>0.24027098759123128</v>
      </c>
      <c r="M18" s="47">
        <f t="shared" si="10"/>
        <v>0.29793602461312685</v>
      </c>
      <c r="N18" s="47">
        <f t="shared" si="11"/>
        <v>0.36944067052027724</v>
      </c>
      <c r="O18" s="57" t="str">
        <f t="array" ref="O18">IFERROR(INDEX($C$9:$N$9,MATCH(TRUE(),INDEX(C18:N18&gt;=1,0),0)),"—")</f>
        <v>—</v>
      </c>
    </row>
    <row r="19" spans="1:15" ht="21.75" customHeight="1" x14ac:dyDescent="0.25">
      <c r="A19" s="36" t="str">
        <f>'2. WCI Decomposition'!A14</f>
        <v>Henderson</v>
      </c>
      <c r="B19" s="40">
        <f>'2. WCI Decomposition'!E14</f>
        <v>1.5769469696016712E-3</v>
      </c>
      <c r="C19" s="49">
        <f t="shared" si="0"/>
        <v>1.5769469696016712E-3</v>
      </c>
      <c r="D19" s="49">
        <f t="shared" si="1"/>
        <v>1.9554142423060723E-3</v>
      </c>
      <c r="E19" s="49">
        <f t="shared" si="2"/>
        <v>2.4247136604595297E-3</v>
      </c>
      <c r="F19" s="49">
        <f t="shared" si="3"/>
        <v>3.006644938969817E-3</v>
      </c>
      <c r="G19" s="49">
        <f t="shared" si="4"/>
        <v>3.7282397243225728E-3</v>
      </c>
      <c r="H19" s="49">
        <f t="shared" si="5"/>
        <v>4.6230172581599909E-3</v>
      </c>
      <c r="I19" s="49">
        <f t="shared" si="6"/>
        <v>5.7325414001183879E-3</v>
      </c>
      <c r="J19" s="49">
        <f t="shared" si="7"/>
        <v>7.108351336146802E-3</v>
      </c>
      <c r="K19" s="49">
        <f t="shared" si="8"/>
        <v>8.8143556568220337E-3</v>
      </c>
      <c r="L19" s="49">
        <f t="shared" si="9"/>
        <v>1.0929801014459322E-2</v>
      </c>
      <c r="M19" s="49">
        <f t="shared" si="10"/>
        <v>1.3552953257929561E-2</v>
      </c>
      <c r="N19" s="49">
        <f t="shared" si="11"/>
        <v>1.6805662039832654E-2</v>
      </c>
      <c r="O19" s="58" t="str">
        <f t="array" ref="O19">IFERROR(INDEX($C$9:$N$9,MATCH(TRUE(),INDEX(C19:N19&gt;=1,0),0)),"—")</f>
        <v>—</v>
      </c>
    </row>
    <row r="21" spans="1:15" ht="18" customHeight="1" x14ac:dyDescent="0.25">
      <c r="A21" s="10" t="s">
        <v>257</v>
      </c>
      <c r="B21" s="10"/>
      <c r="C21" s="10"/>
      <c r="D21" s="10"/>
      <c r="E21" s="10"/>
      <c r="F21" s="10"/>
      <c r="G21" s="10"/>
      <c r="H21" s="10"/>
      <c r="I21" s="10"/>
      <c r="J21" s="10"/>
      <c r="K21" s="10"/>
      <c r="L21" s="10"/>
      <c r="M21" s="10"/>
      <c r="N21" s="10"/>
      <c r="O21" s="10"/>
    </row>
    <row r="22" spans="1:15" ht="30" customHeight="1" x14ac:dyDescent="0.25">
      <c r="A22" s="13" t="s">
        <v>115</v>
      </c>
      <c r="B22" s="13" t="s">
        <v>255</v>
      </c>
      <c r="C22" s="56">
        <v>2024</v>
      </c>
      <c r="D22" s="56">
        <v>2025</v>
      </c>
      <c r="E22" s="56">
        <v>2026</v>
      </c>
      <c r="F22" s="56">
        <v>2027</v>
      </c>
      <c r="G22" s="56">
        <v>2028</v>
      </c>
      <c r="H22" s="56">
        <v>2029</v>
      </c>
      <c r="I22" s="56">
        <v>2030</v>
      </c>
      <c r="J22" s="56">
        <v>2031</v>
      </c>
      <c r="K22" s="56">
        <v>2032</v>
      </c>
      <c r="L22" s="56">
        <v>2033</v>
      </c>
      <c r="M22" s="56">
        <v>2034</v>
      </c>
      <c r="N22" s="56">
        <v>2035</v>
      </c>
      <c r="O22" s="13" t="s">
        <v>256</v>
      </c>
    </row>
    <row r="23" spans="1:15" ht="21.75" customHeight="1" x14ac:dyDescent="0.25">
      <c r="A23" s="17" t="str">
        <f>'2. WCI Decomposition'!A5</f>
        <v>Lebanon</v>
      </c>
      <c r="B23" s="28">
        <f>'2. WCI Decomposition'!E5</f>
        <v>1.3392978260869566</v>
      </c>
      <c r="C23" s="47">
        <f t="shared" ref="C23:C32" si="12">$B23*(1+$B$6)^0</f>
        <v>1.3392978260869566</v>
      </c>
      <c r="D23" s="47">
        <f t="shared" ref="D23:D32" si="13">$B23*(1+$B$6)^1</f>
        <v>1.5134065434782609</v>
      </c>
      <c r="E23" s="47">
        <f t="shared" ref="E23:E32" si="14">$B23*(1+$B$6)^2</f>
        <v>1.7101493941304344</v>
      </c>
      <c r="F23" s="47">
        <f t="shared" ref="F23:F32" si="15">$B23*(1+$B$6)^3</f>
        <v>1.9324688153673906</v>
      </c>
      <c r="G23" s="47">
        <f t="shared" ref="G23:G32" si="16">$B23*(1+$B$6)^4</f>
        <v>2.1836897613651511</v>
      </c>
      <c r="H23" s="47">
        <f t="shared" ref="H23:H32" si="17">$B23*(1+$B$6)^5</f>
        <v>2.4675694303426208</v>
      </c>
      <c r="I23" s="47">
        <f t="shared" ref="I23:I32" si="18">$B23*(1+$B$6)^6</f>
        <v>2.7883534562871608</v>
      </c>
      <c r="J23" s="47">
        <f t="shared" ref="J23:J32" si="19">$B23*(1+$B$6)^7</f>
        <v>3.1508394056044913</v>
      </c>
      <c r="K23" s="47">
        <f t="shared" ref="K23:K32" si="20">$B23*(1+$B$6)^8</f>
        <v>3.5604485283330751</v>
      </c>
      <c r="L23" s="47">
        <f t="shared" ref="L23:L32" si="21">$B23*(1+$B$6)^9</f>
        <v>4.0233068370163743</v>
      </c>
      <c r="M23" s="47">
        <f t="shared" ref="M23:M32" si="22">$B23*(1+$B$6)^10</f>
        <v>4.5463367258285023</v>
      </c>
      <c r="N23" s="47">
        <f t="shared" ref="N23:N32" si="23">$B23*(1+$B$6)^11</f>
        <v>5.1373605001862073</v>
      </c>
      <c r="O23" s="57">
        <f t="array" ref="O23">IFERROR(INDEX($C$22:$N$22,MATCH(TRUE(),INDEX(C23:N23&gt;=1,0),0)),"—")</f>
        <v>2024</v>
      </c>
    </row>
    <row r="24" spans="1:15" ht="21.75" customHeight="1" x14ac:dyDescent="0.25">
      <c r="A24" s="36" t="str">
        <f>'2. WCI Decomposition'!A6</f>
        <v>Council Bluffs</v>
      </c>
      <c r="B24" s="40">
        <f>'2. WCI Decomposition'!E6</f>
        <v>0.59900349541618747</v>
      </c>
      <c r="C24" s="49">
        <f t="shared" si="12"/>
        <v>0.59900349541618747</v>
      </c>
      <c r="D24" s="49">
        <f t="shared" si="13"/>
        <v>0.67687394982029181</v>
      </c>
      <c r="E24" s="49">
        <f t="shared" si="14"/>
        <v>0.76486756329692962</v>
      </c>
      <c r="F24" s="49">
        <f t="shared" si="15"/>
        <v>0.86430034652553034</v>
      </c>
      <c r="G24" s="49">
        <f t="shared" si="16"/>
        <v>0.97665939157384918</v>
      </c>
      <c r="H24" s="49">
        <f t="shared" si="17"/>
        <v>1.1036251124784495</v>
      </c>
      <c r="I24" s="49">
        <f t="shared" si="18"/>
        <v>1.2470963771006476</v>
      </c>
      <c r="J24" s="49">
        <f t="shared" si="19"/>
        <v>1.4092189061237317</v>
      </c>
      <c r="K24" s="49">
        <f t="shared" si="20"/>
        <v>1.5924173639198167</v>
      </c>
      <c r="L24" s="49">
        <f t="shared" si="21"/>
        <v>1.7994316212293928</v>
      </c>
      <c r="M24" s="49">
        <f t="shared" si="22"/>
        <v>2.0333577319892138</v>
      </c>
      <c r="N24" s="49">
        <f t="shared" si="23"/>
        <v>2.2976942371478111</v>
      </c>
      <c r="O24" s="58">
        <f t="array" ref="O24">IFERROR(INDEX($C$22:$N$22,MATCH(TRUE(),INDEX(C24:N24&gt;=1,0),0)),"—")</f>
        <v>2029</v>
      </c>
    </row>
    <row r="25" spans="1:15" ht="21.75" customHeight="1" x14ac:dyDescent="0.25">
      <c r="A25" s="17" t="str">
        <f>'2. WCI Decomposition'!A7</f>
        <v>Mayes County</v>
      </c>
      <c r="B25" s="28">
        <f>'2. WCI Decomposition'!E7</f>
        <v>0.57046377754557498</v>
      </c>
      <c r="C25" s="47">
        <f t="shared" si="12"/>
        <v>0.57046377754557498</v>
      </c>
      <c r="D25" s="47">
        <f t="shared" si="13"/>
        <v>0.64462406862649968</v>
      </c>
      <c r="E25" s="47">
        <f t="shared" si="14"/>
        <v>0.72842519754794455</v>
      </c>
      <c r="F25" s="47">
        <f t="shared" si="15"/>
        <v>0.82312047322917714</v>
      </c>
      <c r="G25" s="47">
        <f t="shared" si="16"/>
        <v>0.9301261347489701</v>
      </c>
      <c r="H25" s="47">
        <f t="shared" si="17"/>
        <v>1.0510425322663361</v>
      </c>
      <c r="I25" s="47">
        <f t="shared" si="18"/>
        <v>1.1876780614609597</v>
      </c>
      <c r="J25" s="47">
        <f t="shared" si="19"/>
        <v>1.3420762094508842</v>
      </c>
      <c r="K25" s="47">
        <f t="shared" si="20"/>
        <v>1.5165461166794991</v>
      </c>
      <c r="L25" s="47">
        <f t="shared" si="21"/>
        <v>1.7136971118478339</v>
      </c>
      <c r="M25" s="47">
        <f t="shared" si="22"/>
        <v>1.9364777363880521</v>
      </c>
      <c r="N25" s="47">
        <f t="shared" si="23"/>
        <v>2.1882198421184982</v>
      </c>
      <c r="O25" s="57">
        <f t="array" ref="O25">IFERROR(INDEX($C$22:$N$22,MATCH(TRUE(),INDEX(C25:N25&gt;=1,0),0)),"—")</f>
        <v>2029</v>
      </c>
    </row>
    <row r="26" spans="1:15" ht="21.75" customHeight="1" x14ac:dyDescent="0.25">
      <c r="A26" s="36" t="str">
        <f>'2. WCI Decomposition'!A8</f>
        <v>The Dalles</v>
      </c>
      <c r="B26" s="40">
        <f>'2. WCI Decomposition'!E8</f>
        <v>0.48608534314843405</v>
      </c>
      <c r="C26" s="49">
        <f t="shared" si="12"/>
        <v>0.48608534314843405</v>
      </c>
      <c r="D26" s="49">
        <f t="shared" si="13"/>
        <v>0.54927643775773038</v>
      </c>
      <c r="E26" s="49">
        <f t="shared" si="14"/>
        <v>0.62068237466623533</v>
      </c>
      <c r="F26" s="49">
        <f t="shared" si="15"/>
        <v>0.70137108337284582</v>
      </c>
      <c r="G26" s="49">
        <f t="shared" si="16"/>
        <v>0.79254932421131563</v>
      </c>
      <c r="H26" s="49">
        <f t="shared" si="17"/>
        <v>0.89558073635878654</v>
      </c>
      <c r="I26" s="49">
        <f t="shared" si="18"/>
        <v>1.0120062320854286</v>
      </c>
      <c r="J26" s="49">
        <f t="shared" si="19"/>
        <v>1.1435670422565343</v>
      </c>
      <c r="K26" s="49">
        <f t="shared" si="20"/>
        <v>1.2922307577498837</v>
      </c>
      <c r="L26" s="49">
        <f t="shared" si="21"/>
        <v>1.4602207562573684</v>
      </c>
      <c r="M26" s="49">
        <f t="shared" si="22"/>
        <v>1.650049454570826</v>
      </c>
      <c r="N26" s="49">
        <f t="shared" si="23"/>
        <v>1.8645558836650331</v>
      </c>
      <c r="O26" s="58">
        <f t="array" ref="O26">IFERROR(INDEX($C$22:$N$22,MATCH(TRUE(),INDEX(C26:N26&gt;=1,0),0)),"—")</f>
        <v>2030</v>
      </c>
    </row>
    <row r="27" spans="1:15" ht="21.75" customHeight="1" x14ac:dyDescent="0.25">
      <c r="A27" s="17" t="str">
        <f>'2. WCI Decomposition'!A9</f>
        <v>Douglas County</v>
      </c>
      <c r="B27" s="28">
        <f>'2. WCI Decomposition'!E9</f>
        <v>0.31377411938308813</v>
      </c>
      <c r="C27" s="47">
        <f t="shared" si="12"/>
        <v>0.31377411938308813</v>
      </c>
      <c r="D27" s="47">
        <f t="shared" si="13"/>
        <v>0.35456475490288958</v>
      </c>
      <c r="E27" s="47">
        <f t="shared" si="14"/>
        <v>0.40065817304026513</v>
      </c>
      <c r="F27" s="47">
        <f t="shared" si="15"/>
        <v>0.45274373553549951</v>
      </c>
      <c r="G27" s="47">
        <f t="shared" si="16"/>
        <v>0.51160042115511439</v>
      </c>
      <c r="H27" s="47">
        <f t="shared" si="17"/>
        <v>0.57810847590527925</v>
      </c>
      <c r="I27" s="47">
        <f t="shared" si="18"/>
        <v>0.65326257777296537</v>
      </c>
      <c r="J27" s="47">
        <f t="shared" si="19"/>
        <v>0.73818671288345084</v>
      </c>
      <c r="K27" s="47">
        <f t="shared" si="20"/>
        <v>0.83415098555829947</v>
      </c>
      <c r="L27" s="47">
        <f t="shared" si="21"/>
        <v>0.94259061368087826</v>
      </c>
      <c r="M27" s="47">
        <f t="shared" si="22"/>
        <v>1.0651273934593923</v>
      </c>
      <c r="N27" s="47">
        <f t="shared" si="23"/>
        <v>1.2035939546091132</v>
      </c>
      <c r="O27" s="57">
        <f t="array" ref="O27">IFERROR(INDEX($C$22:$N$22,MATCH(TRUE(),INDEX(C27:N27&gt;=1,0),0)),"—")</f>
        <v>2034</v>
      </c>
    </row>
    <row r="28" spans="1:15" ht="21.75" customHeight="1" x14ac:dyDescent="0.25">
      <c r="A28" s="36" t="str">
        <f>'2. WCI Decomposition'!A10</f>
        <v>Wisconsin Site</v>
      </c>
      <c r="B28" s="40">
        <f>'2. WCI Decomposition'!E10</f>
        <v>0.26565</v>
      </c>
      <c r="C28" s="49">
        <f t="shared" si="12"/>
        <v>0.26565</v>
      </c>
      <c r="D28" s="49">
        <f t="shared" si="13"/>
        <v>0.30018449999999997</v>
      </c>
      <c r="E28" s="49">
        <f t="shared" si="14"/>
        <v>0.33920848499999989</v>
      </c>
      <c r="F28" s="49">
        <f t="shared" si="15"/>
        <v>0.38330558804999987</v>
      </c>
      <c r="G28" s="49">
        <f t="shared" si="16"/>
        <v>0.43313531449649978</v>
      </c>
      <c r="H28" s="49">
        <f t="shared" si="17"/>
        <v>0.48944290538104468</v>
      </c>
      <c r="I28" s="49">
        <f t="shared" si="18"/>
        <v>0.55307048308058038</v>
      </c>
      <c r="J28" s="49">
        <f t="shared" si="19"/>
        <v>0.62496964588105586</v>
      </c>
      <c r="K28" s="49">
        <f t="shared" si="20"/>
        <v>0.70621569984559307</v>
      </c>
      <c r="L28" s="49">
        <f t="shared" si="21"/>
        <v>0.79802374082552008</v>
      </c>
      <c r="M28" s="49">
        <f t="shared" si="22"/>
        <v>0.90176682713283751</v>
      </c>
      <c r="N28" s="49">
        <f t="shared" si="23"/>
        <v>1.0189965146601063</v>
      </c>
      <c r="O28" s="58">
        <f t="array" ref="O28">IFERROR(INDEX($C$22:$N$22,MATCH(TRUE(),INDEX(C28:N28&gt;=1,0),0)),"—")</f>
        <v>2035</v>
      </c>
    </row>
    <row r="29" spans="1:15" ht="21.75" customHeight="1" x14ac:dyDescent="0.25">
      <c r="A29" s="17" t="str">
        <f>'2. WCI Decomposition'!A11</f>
        <v>Botetourt County</v>
      </c>
      <c r="B29" s="28">
        <f>'2. WCI Decomposition'!E11</f>
        <v>0.13750000000000001</v>
      </c>
      <c r="C29" s="47">
        <f t="shared" si="12"/>
        <v>0.13750000000000001</v>
      </c>
      <c r="D29" s="47">
        <f t="shared" si="13"/>
        <v>0.15537499999999999</v>
      </c>
      <c r="E29" s="47">
        <f t="shared" si="14"/>
        <v>0.17557374999999997</v>
      </c>
      <c r="F29" s="47">
        <f t="shared" si="15"/>
        <v>0.19839833749999994</v>
      </c>
      <c r="G29" s="47">
        <f t="shared" si="16"/>
        <v>0.22419012137499991</v>
      </c>
      <c r="H29" s="47">
        <f t="shared" si="17"/>
        <v>0.25333483715374988</v>
      </c>
      <c r="I29" s="47">
        <f t="shared" si="18"/>
        <v>0.28626836598373728</v>
      </c>
      <c r="J29" s="47">
        <f t="shared" si="19"/>
        <v>0.32348325356162311</v>
      </c>
      <c r="K29" s="47">
        <f t="shared" si="20"/>
        <v>0.3655360765246341</v>
      </c>
      <c r="L29" s="47">
        <f t="shared" si="21"/>
        <v>0.41305576647283654</v>
      </c>
      <c r="M29" s="47">
        <f t="shared" si="22"/>
        <v>0.4667530161143052</v>
      </c>
      <c r="N29" s="47">
        <f t="shared" si="23"/>
        <v>0.52743090820916483</v>
      </c>
      <c r="O29" s="57" t="str">
        <f t="array" ref="O29">IFERROR(INDEX($C$22:$N$22,MATCH(TRUE(),INDEX(C29:N29&gt;=1,0),0)),"—")</f>
        <v>—</v>
      </c>
    </row>
    <row r="30" spans="1:15" ht="21.75" customHeight="1" x14ac:dyDescent="0.25">
      <c r="A30" s="36" t="str">
        <f>'2. WCI Decomposition'!A12</f>
        <v>Memphis</v>
      </c>
      <c r="B30" s="40">
        <f>'2. WCI Decomposition'!E12</f>
        <v>1.3430232558139535E-2</v>
      </c>
      <c r="C30" s="49">
        <f t="shared" si="12"/>
        <v>1.3430232558139535E-2</v>
      </c>
      <c r="D30" s="49">
        <f t="shared" si="13"/>
        <v>1.5176162790697672E-2</v>
      </c>
      <c r="E30" s="49">
        <f t="shared" si="14"/>
        <v>1.7149063953488367E-2</v>
      </c>
      <c r="F30" s="49">
        <f t="shared" si="15"/>
        <v>1.9378442267441853E-2</v>
      </c>
      <c r="G30" s="49">
        <f t="shared" si="16"/>
        <v>2.1897639762209292E-2</v>
      </c>
      <c r="H30" s="49">
        <f t="shared" si="17"/>
        <v>2.4744332931296496E-2</v>
      </c>
      <c r="I30" s="49">
        <f t="shared" si="18"/>
        <v>2.7961096212365037E-2</v>
      </c>
      <c r="J30" s="49">
        <f t="shared" si="19"/>
        <v>3.1596038719972491E-2</v>
      </c>
      <c r="K30" s="49">
        <f t="shared" si="20"/>
        <v>3.570352375356891E-2</v>
      </c>
      <c r="L30" s="49">
        <f t="shared" si="21"/>
        <v>4.0344981841532866E-2</v>
      </c>
      <c r="M30" s="49">
        <f t="shared" si="22"/>
        <v>4.5589829480932133E-2</v>
      </c>
      <c r="N30" s="49">
        <f t="shared" si="23"/>
        <v>5.1516507313453301E-2</v>
      </c>
      <c r="O30" s="58" t="str">
        <f t="array" ref="O30">IFERROR(INDEX($C$22:$N$22,MATCH(TRUE(),INDEX(C30:N30&gt;=1,0),0)),"—")</f>
        <v>—</v>
      </c>
    </row>
    <row r="31" spans="1:15" ht="21.75" customHeight="1" x14ac:dyDescent="0.25">
      <c r="A31" s="17" t="str">
        <f>'2. WCI Decomposition'!A13</f>
        <v>Midlothian</v>
      </c>
      <c r="B31" s="28">
        <f>'2. WCI Decomposition'!E13</f>
        <v>3.466619431259025E-2</v>
      </c>
      <c r="C31" s="47">
        <f t="shared" si="12"/>
        <v>3.466619431259025E-2</v>
      </c>
      <c r="D31" s="47">
        <f t="shared" si="13"/>
        <v>3.9172799573226981E-2</v>
      </c>
      <c r="E31" s="47">
        <f t="shared" si="14"/>
        <v>4.4265263517746477E-2</v>
      </c>
      <c r="F31" s="47">
        <f t="shared" si="15"/>
        <v>5.0019747775053511E-2</v>
      </c>
      <c r="G31" s="47">
        <f t="shared" si="16"/>
        <v>5.6522314985810465E-2</v>
      </c>
      <c r="H31" s="47">
        <f t="shared" si="17"/>
        <v>6.3870215933965815E-2</v>
      </c>
      <c r="I31" s="47">
        <f t="shared" si="18"/>
        <v>7.2173344005381362E-2</v>
      </c>
      <c r="J31" s="47">
        <f t="shared" si="19"/>
        <v>8.155587872608093E-2</v>
      </c>
      <c r="K31" s="47">
        <f t="shared" si="20"/>
        <v>9.2158142960471451E-2</v>
      </c>
      <c r="L31" s="47">
        <f t="shared" si="21"/>
        <v>0.10413870154533272</v>
      </c>
      <c r="M31" s="47">
        <f t="shared" si="22"/>
        <v>0.11767673274622596</v>
      </c>
      <c r="N31" s="47">
        <f t="shared" si="23"/>
        <v>0.13297470800323533</v>
      </c>
      <c r="O31" s="57" t="str">
        <f t="array" ref="O31">IFERROR(INDEX($C$22:$N$22,MATCH(TRUE(),INDEX(C31:N31&gt;=1,0),0)),"—")</f>
        <v>—</v>
      </c>
    </row>
    <row r="32" spans="1:15" ht="21.75" customHeight="1" x14ac:dyDescent="0.25">
      <c r="A32" s="36" t="str">
        <f>'2. WCI Decomposition'!A14</f>
        <v>Henderson</v>
      </c>
      <c r="B32" s="40">
        <f>'2. WCI Decomposition'!E14</f>
        <v>1.5769469696016712E-3</v>
      </c>
      <c r="C32" s="49">
        <f t="shared" si="12"/>
        <v>1.5769469696016712E-3</v>
      </c>
      <c r="D32" s="49">
        <f t="shared" si="13"/>
        <v>1.7819500756498883E-3</v>
      </c>
      <c r="E32" s="49">
        <f t="shared" si="14"/>
        <v>2.0136035854843733E-3</v>
      </c>
      <c r="F32" s="49">
        <f t="shared" si="15"/>
        <v>2.2753720515973417E-3</v>
      </c>
      <c r="G32" s="49">
        <f t="shared" si="16"/>
        <v>2.5711704183049959E-3</v>
      </c>
      <c r="H32" s="49">
        <f t="shared" si="17"/>
        <v>2.9054225726846449E-3</v>
      </c>
      <c r="I32" s="49">
        <f t="shared" si="18"/>
        <v>3.2831275071336483E-3</v>
      </c>
      <c r="J32" s="49">
        <f t="shared" si="19"/>
        <v>3.7099340830610223E-3</v>
      </c>
      <c r="K32" s="49">
        <f t="shared" si="20"/>
        <v>4.1922255138589553E-3</v>
      </c>
      <c r="L32" s="49">
        <f t="shared" si="21"/>
        <v>4.7372148306606184E-3</v>
      </c>
      <c r="M32" s="49">
        <f t="shared" si="22"/>
        <v>5.3530527586464986E-3</v>
      </c>
      <c r="N32" s="49">
        <f t="shared" si="23"/>
        <v>6.0489496172705416E-3</v>
      </c>
      <c r="O32" s="58" t="str">
        <f t="array" ref="O32">IFERROR(INDEX($C$22:$N$22,MATCH(TRUE(),INDEX(C32:N32&gt;=1,0),0)),"—")</f>
        <v>—</v>
      </c>
    </row>
  </sheetData>
  <mergeCells count="9">
    <mergeCell ref="B6:C6"/>
    <mergeCell ref="D6:O6"/>
    <mergeCell ref="A8:O8"/>
    <mergeCell ref="A21:O21"/>
    <mergeCell ref="A1:O1"/>
    <mergeCell ref="A2:O2"/>
    <mergeCell ref="A4:O4"/>
    <mergeCell ref="B5:C5"/>
    <mergeCell ref="D5:O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
  <sheetViews>
    <sheetView showGridLines="0" zoomScaleNormal="100" workbookViewId="0">
      <pane ySplit="4" topLeftCell="A5" activePane="bottomLeft" state="frozen"/>
      <selection pane="bottomLeft" activeCell="N23" sqref="N23"/>
    </sheetView>
  </sheetViews>
  <sheetFormatPr defaultColWidth="8.7109375" defaultRowHeight="15" customHeight="1" x14ac:dyDescent="0.25"/>
  <cols>
    <col min="1" max="1" width="6" customWidth="1"/>
    <col min="2" max="2" width="18" customWidth="1"/>
    <col min="3" max="3" width="6" customWidth="1"/>
    <col min="4" max="4" width="11" customWidth="1"/>
    <col min="5" max="5" width="10" customWidth="1"/>
    <col min="6" max="8" width="8" customWidth="1"/>
    <col min="9" max="9" width="9" customWidth="1"/>
    <col min="10" max="10" width="10" customWidth="1"/>
    <col min="11" max="11" width="12" customWidth="1"/>
    <col min="12" max="13" width="16" customWidth="1"/>
    <col min="14" max="14" width="14" customWidth="1"/>
    <col min="15" max="16" width="15" customWidth="1"/>
  </cols>
  <sheetData>
    <row r="1" spans="1:16" ht="25.5" customHeight="1" x14ac:dyDescent="0.25">
      <c r="A1" s="12" t="s">
        <v>258</v>
      </c>
      <c r="B1" s="12"/>
      <c r="C1" s="12"/>
      <c r="D1" s="12"/>
      <c r="E1" s="12"/>
      <c r="F1" s="12"/>
      <c r="G1" s="12"/>
      <c r="H1" s="12"/>
      <c r="I1" s="12"/>
      <c r="J1" s="12"/>
      <c r="K1" s="12"/>
      <c r="L1" s="12"/>
      <c r="M1" s="12"/>
      <c r="N1" s="12"/>
      <c r="O1" s="12"/>
      <c r="P1" s="12"/>
    </row>
    <row r="2" spans="1:16" ht="19.5" customHeight="1" x14ac:dyDescent="0.25">
      <c r="A2" s="11" t="s">
        <v>259</v>
      </c>
      <c r="B2" s="11"/>
      <c r="C2" s="11"/>
      <c r="D2" s="11"/>
      <c r="E2" s="11"/>
      <c r="F2" s="11"/>
      <c r="G2" s="11"/>
      <c r="H2" s="11"/>
      <c r="I2" s="11"/>
      <c r="J2" s="11"/>
      <c r="K2" s="11"/>
      <c r="L2" s="11"/>
      <c r="M2" s="11"/>
      <c r="N2" s="11"/>
      <c r="O2" s="11"/>
      <c r="P2" s="11"/>
    </row>
    <row r="4" spans="1:16" ht="39.75" customHeight="1" x14ac:dyDescent="0.25">
      <c r="A4" s="13" t="s">
        <v>260</v>
      </c>
      <c r="B4" s="13" t="s">
        <v>115</v>
      </c>
      <c r="C4" s="13" t="s">
        <v>116</v>
      </c>
      <c r="D4" s="13" t="s">
        <v>117</v>
      </c>
      <c r="E4" s="13" t="s">
        <v>123</v>
      </c>
      <c r="F4" s="13" t="s">
        <v>261</v>
      </c>
      <c r="G4" s="13" t="s">
        <v>49</v>
      </c>
      <c r="H4" s="13" t="s">
        <v>53</v>
      </c>
      <c r="I4" s="13" t="s">
        <v>187</v>
      </c>
      <c r="J4" s="13" t="s">
        <v>188</v>
      </c>
      <c r="K4" s="13" t="s">
        <v>190</v>
      </c>
      <c r="L4" s="13" t="s">
        <v>226</v>
      </c>
      <c r="M4" s="13" t="s">
        <v>229</v>
      </c>
      <c r="N4" s="13" t="s">
        <v>191</v>
      </c>
      <c r="O4" s="13" t="s">
        <v>262</v>
      </c>
    </row>
    <row r="5" spans="1:16" ht="25.5" customHeight="1" x14ac:dyDescent="0.25">
      <c r="A5" s="48">
        <v>1</v>
      </c>
      <c r="B5" s="17" t="str">
        <f>'1. Inputs'!A5</f>
        <v>Lebanon</v>
      </c>
      <c r="C5" s="48" t="str">
        <f>'1. Inputs'!B5</f>
        <v>IN</v>
      </c>
      <c r="D5" s="17" t="str">
        <f>'1. Inputs'!C5</f>
        <v>Meta</v>
      </c>
      <c r="E5" s="59">
        <f>'1. Inputs'!I5</f>
        <v>4.5999999999999996</v>
      </c>
      <c r="F5" s="28">
        <f>'2. WCI Decomposition'!B5</f>
        <v>0.27608695652173915</v>
      </c>
      <c r="G5" s="28">
        <f>'2. WCI Decomposition'!C5</f>
        <v>0.77</v>
      </c>
      <c r="H5" s="34">
        <f>'2. WCI Decomposition'!D5</f>
        <v>6.3</v>
      </c>
      <c r="I5" s="28">
        <f>'2. WCI Decomposition'!E5</f>
        <v>1.3392978260869566</v>
      </c>
      <c r="J5" s="47">
        <f>'2. WCI Decomposition'!E5</f>
        <v>1.3392978260869566</v>
      </c>
      <c r="K5" s="47">
        <f>'2. WCI Decomposition'!G5</f>
        <v>0.21258695652173915</v>
      </c>
      <c r="L5" s="51">
        <f>'3. Community Equivalence'!D5</f>
        <v>3261.1313997702609</v>
      </c>
      <c r="M5" s="47">
        <f>'3. Community Equivalence'!H5</f>
        <v>0.6787224860652733</v>
      </c>
      <c r="N5" s="48" t="str">
        <f>'2. WCI Decomposition'!I5</f>
        <v>OVERLOAD</v>
      </c>
      <c r="O5" s="57">
        <f>IF(ISNUMBER('4. Growth Projections'!O23),'4. Growth Projections'!O23-2024,"—")</f>
        <v>0</v>
      </c>
    </row>
    <row r="6" spans="1:16" ht="25.5" customHeight="1" x14ac:dyDescent="0.25">
      <c r="A6" s="50">
        <v>2</v>
      </c>
      <c r="B6" s="36" t="str">
        <f>'1. Inputs'!A6</f>
        <v>Council Bluffs</v>
      </c>
      <c r="C6" s="50" t="str">
        <f>'1. Inputs'!B6</f>
        <v>IA</v>
      </c>
      <c r="D6" s="36" t="str">
        <f>'1. Inputs'!C6</f>
        <v>Google</v>
      </c>
      <c r="E6" s="60">
        <f>'1. Inputs'!I6</f>
        <v>30</v>
      </c>
      <c r="F6" s="40">
        <f>'2. WCI Decomposition'!B6</f>
        <v>0.12870724009802051</v>
      </c>
      <c r="G6" s="40">
        <f>'2. WCI Decomposition'!C6</f>
        <v>0.71599999999999997</v>
      </c>
      <c r="H6" s="42">
        <f>'2. WCI Decomposition'!D6</f>
        <v>6.5</v>
      </c>
      <c r="I6" s="40">
        <f>'2. WCI Decomposition'!E6</f>
        <v>0.59900349541618747</v>
      </c>
      <c r="J6" s="49">
        <f>'2. WCI Decomposition'!E6</f>
        <v>0.59900349541618747</v>
      </c>
      <c r="K6" s="49">
        <f>'2. WCI Decomposition'!G6</f>
        <v>9.2154383910182686E-2</v>
      </c>
      <c r="L6" s="53">
        <f>'3. Community Equivalence'!D6</f>
        <v>9219.5793535938246</v>
      </c>
      <c r="M6" s="49">
        <f>'3. Community Equivalence'!H6</f>
        <v>0.5482353078696286</v>
      </c>
      <c r="N6" s="50" t="str">
        <f>'2. WCI Decomposition'!I6</f>
        <v>SEVERE</v>
      </c>
      <c r="O6" s="58">
        <f>IF(ISNUMBER('4. Growth Projections'!O24),'4. Growth Projections'!O24-2024,"—")</f>
        <v>5</v>
      </c>
    </row>
    <row r="7" spans="1:16" ht="25.5" customHeight="1" x14ac:dyDescent="0.25">
      <c r="A7" s="48">
        <v>3</v>
      </c>
      <c r="B7" s="17" t="str">
        <f>'1. Inputs'!A7</f>
        <v>Mayes County</v>
      </c>
      <c r="C7" s="48" t="str">
        <f>'1. Inputs'!B7</f>
        <v>OK</v>
      </c>
      <c r="D7" s="17" t="str">
        <f>'1. Inputs'!C7</f>
        <v>Google</v>
      </c>
      <c r="E7" s="59">
        <f>'1. Inputs'!I7</f>
        <v>10</v>
      </c>
      <c r="F7" s="28">
        <f>'2. WCI Decomposition'!B7</f>
        <v>0.3034381795455186</v>
      </c>
      <c r="G7" s="28">
        <f>'2. WCI Decomposition'!C7</f>
        <v>0.752</v>
      </c>
      <c r="H7" s="34">
        <f>'2. WCI Decomposition'!D7</f>
        <v>2.5</v>
      </c>
      <c r="I7" s="28">
        <f>'2. WCI Decomposition'!E7</f>
        <v>0.57046377754557498</v>
      </c>
      <c r="J7" s="47">
        <f>'2. WCI Decomposition'!E7</f>
        <v>0.57046377754557498</v>
      </c>
      <c r="K7" s="47">
        <f>'2. WCI Decomposition'!G7</f>
        <v>0.22818551101822998</v>
      </c>
      <c r="L7" s="51">
        <f>'3. Community Equivalence'!D7</f>
        <v>7609.6015436565349</v>
      </c>
      <c r="M7" s="47">
        <f>'3. Community Equivalence'!H7</f>
        <v>0.69530364264953548</v>
      </c>
      <c r="N7" s="48" t="str">
        <f>'2. WCI Decomposition'!I7</f>
        <v>SEVERE</v>
      </c>
      <c r="O7" s="57">
        <f>IF(ISNUMBER('4. Growth Projections'!O25),'4. Growth Projections'!O25-2024,"—")</f>
        <v>5</v>
      </c>
    </row>
    <row r="8" spans="1:16" ht="25.5" customHeight="1" x14ac:dyDescent="0.25">
      <c r="A8" s="50">
        <v>4</v>
      </c>
      <c r="B8" s="36" t="str">
        <f>'1. Inputs'!A8</f>
        <v>The Dalles</v>
      </c>
      <c r="C8" s="50" t="str">
        <f>'1. Inputs'!B8</f>
        <v>OR</v>
      </c>
      <c r="D8" s="36" t="str">
        <f>'1. Inputs'!C8</f>
        <v>Google</v>
      </c>
      <c r="E8" s="60">
        <f>'1. Inputs'!I8</f>
        <v>4.5</v>
      </c>
      <c r="F8" s="40">
        <f>'2. WCI Decomposition'!B8</f>
        <v>0.28054607024450207</v>
      </c>
      <c r="G8" s="40">
        <f>'2. WCI Decomposition'!C8</f>
        <v>0.78400000000000003</v>
      </c>
      <c r="H8" s="42">
        <f>'2. WCI Decomposition'!D8</f>
        <v>2.21</v>
      </c>
      <c r="I8" s="40">
        <f>'2. WCI Decomposition'!E8</f>
        <v>0.48608534314843405</v>
      </c>
      <c r="J8" s="49">
        <f>'2. WCI Decomposition'!E8</f>
        <v>0.48608534314843405</v>
      </c>
      <c r="K8" s="49">
        <f>'2. WCI Decomposition'!G8</f>
        <v>0.21994811907168962</v>
      </c>
      <c r="L8" s="53">
        <f>'3. Community Equivalence'!D8</f>
        <v>3300.7042932947415</v>
      </c>
      <c r="M8" s="49">
        <f>'3. Community Equivalence'!H8</f>
        <v>0.77282841220467025</v>
      </c>
      <c r="N8" s="50" t="str">
        <f>'2. WCI Decomposition'!I8</f>
        <v>HIGH</v>
      </c>
      <c r="O8" s="58">
        <f>IF(ISNUMBER('4. Growth Projections'!O26),'4. Growth Projections'!O26-2024,"—")</f>
        <v>6</v>
      </c>
    </row>
    <row r="9" spans="1:16" ht="25.5" customHeight="1" x14ac:dyDescent="0.25">
      <c r="A9" s="48">
        <v>5</v>
      </c>
      <c r="B9" s="17" t="str">
        <f>'1. Inputs'!A9</f>
        <v>Douglas County</v>
      </c>
      <c r="C9" s="48" t="str">
        <f>'1. Inputs'!B9</f>
        <v>GA</v>
      </c>
      <c r="D9" s="17" t="str">
        <f>'1. Inputs'!C9</f>
        <v>Google</v>
      </c>
      <c r="E9" s="59">
        <f>'1. Inputs'!I9</f>
        <v>8</v>
      </c>
      <c r="F9" s="28">
        <f>'2. WCI Decomposition'!B9</f>
        <v>0.15194872609350515</v>
      </c>
      <c r="G9" s="28">
        <f>'2. WCI Decomposition'!C9</f>
        <v>0.82599999999999996</v>
      </c>
      <c r="H9" s="34">
        <f>'2. WCI Decomposition'!D9</f>
        <v>2.5</v>
      </c>
      <c r="I9" s="28">
        <f>'2. WCI Decomposition'!E9</f>
        <v>0.31377411938308813</v>
      </c>
      <c r="J9" s="47">
        <f>'2. WCI Decomposition'!E9</f>
        <v>0.31377411938308813</v>
      </c>
      <c r="K9" s="47">
        <f>'2. WCI Decomposition'!G9</f>
        <v>0.12550964775323525</v>
      </c>
      <c r="L9" s="51">
        <f>'3. Community Equivalence'!D9</f>
        <v>3348.4278822961887</v>
      </c>
      <c r="M9" s="47">
        <f>'3. Community Equivalence'!H9</f>
        <v>8.5918075085053433E-2</v>
      </c>
      <c r="N9" s="48" t="str">
        <f>'2. WCI Decomposition'!I9</f>
        <v>HIGH</v>
      </c>
      <c r="O9" s="57">
        <f>IF(ISNUMBER('4. Growth Projections'!O27),'4. Growth Projections'!O27-2024,"—")</f>
        <v>10</v>
      </c>
    </row>
    <row r="10" spans="1:16" ht="25.5" customHeight="1" x14ac:dyDescent="0.25">
      <c r="A10" s="50">
        <v>6</v>
      </c>
      <c r="B10" s="36" t="str">
        <f>'1. Inputs'!A10</f>
        <v>Wisconsin Site</v>
      </c>
      <c r="C10" s="50" t="str">
        <f>'1. Inputs'!B10</f>
        <v>WI</v>
      </c>
      <c r="D10" s="36" t="str">
        <f>'1. Inputs'!C10</f>
        <v>Microsoft</v>
      </c>
      <c r="E10" s="60">
        <f>'1. Inputs'!I10</f>
        <v>2</v>
      </c>
      <c r="F10" s="40">
        <f>'2. WCI Decomposition'!B10</f>
        <v>1.15E-2</v>
      </c>
      <c r="G10" s="40">
        <f>'2. WCI Decomposition'!C10</f>
        <v>0.77</v>
      </c>
      <c r="H10" s="42">
        <f>'2. WCI Decomposition'!D10</f>
        <v>30</v>
      </c>
      <c r="I10" s="40">
        <f>'2. WCI Decomposition'!E10</f>
        <v>0.26565</v>
      </c>
      <c r="J10" s="49">
        <f>'2. WCI Decomposition'!E10</f>
        <v>0.26565</v>
      </c>
      <c r="K10" s="49">
        <f>'2. WCI Decomposition'!G10</f>
        <v>8.855E-3</v>
      </c>
      <c r="L10" s="53">
        <f>'3. Community Equivalence'!D10</f>
        <v>59.059859995839354</v>
      </c>
      <c r="M10" s="49">
        <f>'3. Community Equivalence'!H10</f>
        <v>1.8437736826182615E-2</v>
      </c>
      <c r="N10" s="50" t="str">
        <f>'2. WCI Decomposition'!I10</f>
        <v>HIGH</v>
      </c>
      <c r="O10" s="58">
        <f>IF(ISNUMBER('4. Growth Projections'!O28),'4. Growth Projections'!O28-2024,"—")</f>
        <v>11</v>
      </c>
    </row>
    <row r="11" spans="1:16" ht="25.5" customHeight="1" x14ac:dyDescent="0.25">
      <c r="A11" s="48">
        <v>7</v>
      </c>
      <c r="B11" s="17" t="str">
        <f>'1. Inputs'!A11</f>
        <v>Botetourt County</v>
      </c>
      <c r="C11" s="48" t="str">
        <f>'1. Inputs'!B11</f>
        <v>VA</v>
      </c>
      <c r="D11" s="17" t="str">
        <f>'1. Inputs'!C11</f>
        <v>Google</v>
      </c>
      <c r="E11" s="59">
        <f>'1. Inputs'!I11</f>
        <v>28</v>
      </c>
      <c r="F11" s="28">
        <f>'2. WCI Decomposition'!B11</f>
        <v>7.1428571428571425E-2</v>
      </c>
      <c r="G11" s="28">
        <f>'2. WCI Decomposition'!C11</f>
        <v>0.77</v>
      </c>
      <c r="H11" s="34">
        <f>'2. WCI Decomposition'!D11</f>
        <v>2.5</v>
      </c>
      <c r="I11" s="28">
        <f>'2. WCI Decomposition'!E11</f>
        <v>0.13750000000000001</v>
      </c>
      <c r="J11" s="47">
        <f>'2. WCI Decomposition'!E11</f>
        <v>0.13750000000000001</v>
      </c>
      <c r="K11" s="47">
        <f>'2. WCI Decomposition'!G11</f>
        <v>5.5E-2</v>
      </c>
      <c r="L11" s="51">
        <f>'3. Community Equivalence'!D11</f>
        <v>5135.6399996382052</v>
      </c>
      <c r="M11" s="47">
        <f>'3. Community Equivalence'!H11</f>
        <v>0.56586404581634642</v>
      </c>
      <c r="N11" s="48" t="str">
        <f>'2. WCI Decomposition'!I11</f>
        <v>MODERATE</v>
      </c>
      <c r="O11" s="57" t="str">
        <f>IF(ISNUMBER('4. Growth Projections'!O29),'4. Growth Projections'!O29-2024,"—")</f>
        <v>—</v>
      </c>
    </row>
    <row r="12" spans="1:16" ht="25.5" customHeight="1" x14ac:dyDescent="0.25">
      <c r="A12" s="50">
        <v>9</v>
      </c>
      <c r="B12" s="36" t="str">
        <f>'1. Inputs'!A12</f>
        <v>Memphis</v>
      </c>
      <c r="C12" s="50" t="str">
        <f>'1. Inputs'!B12</f>
        <v>TN</v>
      </c>
      <c r="D12" s="36" t="str">
        <f>'1. Inputs'!C12</f>
        <v>xAI</v>
      </c>
      <c r="E12" s="60">
        <f>'1. Inputs'!I12</f>
        <v>258</v>
      </c>
      <c r="F12" s="40">
        <f>'2. WCI Decomposition'!B12</f>
        <v>3.875968992248062E-3</v>
      </c>
      <c r="G12" s="40">
        <f>'2. WCI Decomposition'!C12</f>
        <v>0.77</v>
      </c>
      <c r="H12" s="42">
        <f>'2. WCI Decomposition'!D12</f>
        <v>4.5</v>
      </c>
      <c r="I12" s="40">
        <f>'2. WCI Decomposition'!E12</f>
        <v>1.3430232558139535E-2</v>
      </c>
      <c r="J12" s="49">
        <f>'2. WCI Decomposition'!E12</f>
        <v>1.3430232558139535E-2</v>
      </c>
      <c r="K12" s="49">
        <f>'2. WCI Decomposition'!G12</f>
        <v>2.9844961240310078E-3</v>
      </c>
      <c r="L12" s="53">
        <f>'3. Community Equivalence'!D12</f>
        <v>2567.8199998191026</v>
      </c>
      <c r="M12" s="49">
        <f>'3. Community Equivalence'!H12</f>
        <v>1.5269347268060141E-2</v>
      </c>
      <c r="N12" s="50" t="str">
        <f>'2. WCI Decomposition'!I12</f>
        <v>MINIMAL</v>
      </c>
      <c r="O12" s="58" t="str">
        <f>IF(ISNUMBER('4. Growth Projections'!O30),'4. Growth Projections'!O30-2024,"—")</f>
        <v>—</v>
      </c>
    </row>
    <row r="13" spans="1:16" ht="25.5" customHeight="1" x14ac:dyDescent="0.25">
      <c r="A13" s="48">
        <v>8</v>
      </c>
      <c r="B13" s="17" t="str">
        <f>'1. Inputs'!A13</f>
        <v>Midlothian</v>
      </c>
      <c r="C13" s="48" t="str">
        <f>'1. Inputs'!B13</f>
        <v>TX</v>
      </c>
      <c r="D13" s="17" t="str">
        <f>'1. Inputs'!C13</f>
        <v>Google</v>
      </c>
      <c r="E13" s="59">
        <f>'1. Inputs'!I13</f>
        <v>36</v>
      </c>
      <c r="F13" s="28">
        <f>'2. WCI Decomposition'!B13</f>
        <v>1.6807851787922545E-2</v>
      </c>
      <c r="G13" s="28">
        <f>'2. WCI Decomposition'!C13</f>
        <v>0.82499999999999996</v>
      </c>
      <c r="H13" s="34">
        <f>'2. WCI Decomposition'!D13</f>
        <v>2.5</v>
      </c>
      <c r="I13" s="28">
        <f>'2. WCI Decomposition'!E13</f>
        <v>3.466619431259025E-2</v>
      </c>
      <c r="J13" s="47">
        <f>'2. WCI Decomposition'!E13</f>
        <v>3.466619431259025E-2</v>
      </c>
      <c r="K13" s="47">
        <f>'2. WCI Decomposition'!G13</f>
        <v>1.3866477725036099E-2</v>
      </c>
      <c r="L13" s="51">
        <f>'3. Community Equivalence'!D13</f>
        <v>1664.7250361794497</v>
      </c>
      <c r="M13" s="47">
        <f>'3. Community Equivalence'!H13</f>
        <v>0.15591179241127398</v>
      </c>
      <c r="N13" s="48" t="str">
        <f>'2. WCI Decomposition'!I13</f>
        <v>MINIMAL</v>
      </c>
      <c r="O13" s="57" t="str">
        <f>IF(ISNUMBER('4. Growth Projections'!O31),'4. Growth Projections'!O31-2024,"—")</f>
        <v>—</v>
      </c>
    </row>
    <row r="14" spans="1:16" ht="25.5" customHeight="1" x14ac:dyDescent="0.25">
      <c r="A14" s="50">
        <v>10</v>
      </c>
      <c r="B14" s="36" t="str">
        <f>'1. Inputs'!A14</f>
        <v>Henderson</v>
      </c>
      <c r="C14" s="50" t="str">
        <f>'1. Inputs'!B14</f>
        <v>NV</v>
      </c>
      <c r="D14" s="36" t="str">
        <f>'1. Inputs'!C14</f>
        <v>Google</v>
      </c>
      <c r="E14" s="60">
        <f>'1. Inputs'!I14</f>
        <v>900</v>
      </c>
      <c r="F14" s="40">
        <f>'2. WCI Decomposition'!B14</f>
        <v>1.0951020622233828E-3</v>
      </c>
      <c r="G14" s="40">
        <f>'2. WCI Decomposition'!C14</f>
        <v>0.57599999999999996</v>
      </c>
      <c r="H14" s="42">
        <f>'2. WCI Decomposition'!D14</f>
        <v>2.5</v>
      </c>
      <c r="I14" s="40">
        <f>'2. WCI Decomposition'!E14</f>
        <v>1.5769469696016712E-3</v>
      </c>
      <c r="J14" s="49">
        <f>'2. WCI Decomposition'!E14</f>
        <v>1.5769469696016712E-3</v>
      </c>
      <c r="K14" s="49">
        <f>'2. WCI Decomposition'!G14</f>
        <v>6.3077878784066849E-4</v>
      </c>
      <c r="L14" s="53">
        <f>'3. Community Equivalence'!D14</f>
        <v>1893.1866859623731</v>
      </c>
      <c r="M14" s="49">
        <f>'3. Community Equivalence'!H14</f>
        <v>2.2163579807672758E-2</v>
      </c>
      <c r="N14" s="50" t="str">
        <f>'2. WCI Decomposition'!I14</f>
        <v>MINIMAL</v>
      </c>
      <c r="O14" s="58" t="str">
        <f>IF(ISNUMBER('4. Growth Projections'!O32),'4. Growth Projections'!O32-2024,"—")</f>
        <v>—</v>
      </c>
    </row>
  </sheetData>
  <mergeCells count="2">
    <mergeCell ref="A1:P1"/>
    <mergeCell ref="A2:P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4"/>
  <sheetViews>
    <sheetView showGridLines="0" tabSelected="1" zoomScaleNormal="100" workbookViewId="0">
      <pane ySplit="3" topLeftCell="A9" activePane="bottomLeft" state="frozen"/>
      <selection pane="bottomLeft" activeCell="F6" sqref="F6"/>
    </sheetView>
  </sheetViews>
  <sheetFormatPr defaultColWidth="8.7109375" defaultRowHeight="15" customHeight="1" x14ac:dyDescent="0.25"/>
  <cols>
    <col min="1" max="1" width="22" customWidth="1"/>
    <col min="2" max="13" width="9" customWidth="1"/>
  </cols>
  <sheetData>
    <row r="1" spans="1:6" ht="25.5" customHeight="1" x14ac:dyDescent="0.25">
      <c r="A1" s="12" t="s">
        <v>301</v>
      </c>
      <c r="B1" s="12"/>
      <c r="C1" s="12"/>
      <c r="D1" s="12"/>
      <c r="E1" s="12"/>
      <c r="F1" s="12"/>
    </row>
    <row r="2" spans="1:6" ht="19.5" customHeight="1" x14ac:dyDescent="0.25">
      <c r="A2" s="11" t="s">
        <v>263</v>
      </c>
      <c r="B2" s="11"/>
      <c r="C2" s="11"/>
      <c r="D2" s="11"/>
      <c r="E2" s="11"/>
      <c r="F2" s="11"/>
    </row>
    <row r="4" spans="1:6" ht="18" customHeight="1" x14ac:dyDescent="0.25">
      <c r="A4" s="10" t="s">
        <v>264</v>
      </c>
      <c r="B4" s="10"/>
      <c r="C4" s="10"/>
      <c r="D4" s="10"/>
      <c r="E4" s="10"/>
      <c r="F4" s="10"/>
    </row>
    <row r="5" spans="1:6" ht="21.75" customHeight="1" x14ac:dyDescent="0.25">
      <c r="A5" s="13" t="s">
        <v>115</v>
      </c>
      <c r="B5" s="13" t="s">
        <v>188</v>
      </c>
      <c r="C5" s="13" t="s">
        <v>190</v>
      </c>
    </row>
    <row r="6" spans="1:6" ht="15" customHeight="1" x14ac:dyDescent="0.25">
      <c r="A6" s="17" t="str">
        <f>'2. WCI Decomposition'!A5</f>
        <v>Lebanon</v>
      </c>
      <c r="B6" s="47">
        <f>'2. WCI Decomposition'!E5</f>
        <v>1.3392978260869566</v>
      </c>
      <c r="C6" s="47">
        <f>'2. WCI Decomposition'!G5</f>
        <v>0.21258695652173915</v>
      </c>
    </row>
    <row r="7" spans="1:6" ht="15" customHeight="1" x14ac:dyDescent="0.25">
      <c r="A7" s="36" t="str">
        <f>'2. WCI Decomposition'!A6</f>
        <v>Council Bluffs</v>
      </c>
      <c r="B7" s="49">
        <f>'2. WCI Decomposition'!E6</f>
        <v>0.59900349541618747</v>
      </c>
      <c r="C7" s="49">
        <f>'2. WCI Decomposition'!G6</f>
        <v>9.2154383910182686E-2</v>
      </c>
    </row>
    <row r="8" spans="1:6" ht="15" customHeight="1" x14ac:dyDescent="0.25">
      <c r="A8" s="17" t="str">
        <f>'2. WCI Decomposition'!A7</f>
        <v>Mayes County</v>
      </c>
      <c r="B8" s="47">
        <f>'2. WCI Decomposition'!E7</f>
        <v>0.57046377754557498</v>
      </c>
      <c r="C8" s="47">
        <f>'2. WCI Decomposition'!G7</f>
        <v>0.22818551101822998</v>
      </c>
    </row>
    <row r="9" spans="1:6" ht="15" customHeight="1" x14ac:dyDescent="0.25">
      <c r="A9" s="36" t="str">
        <f>'2. WCI Decomposition'!A8</f>
        <v>The Dalles</v>
      </c>
      <c r="B9" s="49">
        <f>'2. WCI Decomposition'!E8</f>
        <v>0.48608534314843405</v>
      </c>
      <c r="C9" s="49">
        <f>'2. WCI Decomposition'!G8</f>
        <v>0.21994811907168962</v>
      </c>
    </row>
    <row r="10" spans="1:6" ht="15" customHeight="1" x14ac:dyDescent="0.25">
      <c r="A10" s="17" t="str">
        <f>'2. WCI Decomposition'!A9</f>
        <v>Douglas County</v>
      </c>
      <c r="B10" s="47">
        <f>'2. WCI Decomposition'!E9</f>
        <v>0.31377411938308813</v>
      </c>
      <c r="C10" s="47">
        <f>'2. WCI Decomposition'!G9</f>
        <v>0.12550964775323525</v>
      </c>
    </row>
    <row r="11" spans="1:6" ht="15" customHeight="1" x14ac:dyDescent="0.25">
      <c r="A11" s="36" t="str">
        <f>'2. WCI Decomposition'!A10</f>
        <v>Wisconsin Site</v>
      </c>
      <c r="B11" s="49">
        <f>'2. WCI Decomposition'!E10</f>
        <v>0.26565</v>
      </c>
      <c r="C11" s="49">
        <f>'2. WCI Decomposition'!G10</f>
        <v>8.855E-3</v>
      </c>
    </row>
    <row r="12" spans="1:6" ht="15" customHeight="1" x14ac:dyDescent="0.25">
      <c r="A12" s="17" t="str">
        <f>'2. WCI Decomposition'!A11</f>
        <v>Botetourt County</v>
      </c>
      <c r="B12" s="47">
        <f>'2. WCI Decomposition'!E11</f>
        <v>0.13750000000000001</v>
      </c>
      <c r="C12" s="47">
        <f>'2. WCI Decomposition'!G11</f>
        <v>5.5E-2</v>
      </c>
    </row>
    <row r="13" spans="1:6" ht="15" customHeight="1" x14ac:dyDescent="0.25">
      <c r="A13" s="36" t="str">
        <f>'2. WCI Decomposition'!A12</f>
        <v>Memphis</v>
      </c>
      <c r="B13" s="49">
        <f>'2. WCI Decomposition'!E12</f>
        <v>1.3430232558139535E-2</v>
      </c>
      <c r="C13" s="49">
        <f>'2. WCI Decomposition'!G12</f>
        <v>2.9844961240310078E-3</v>
      </c>
    </row>
    <row r="14" spans="1:6" ht="15" customHeight="1" x14ac:dyDescent="0.25">
      <c r="A14" s="17" t="str">
        <f>'2. WCI Decomposition'!A13</f>
        <v>Midlothian</v>
      </c>
      <c r="B14" s="47">
        <f>'2. WCI Decomposition'!E13</f>
        <v>3.466619431259025E-2</v>
      </c>
      <c r="C14" s="47">
        <f>'2. WCI Decomposition'!G13</f>
        <v>1.3866477725036099E-2</v>
      </c>
    </row>
    <row r="15" spans="1:6" ht="15" customHeight="1" x14ac:dyDescent="0.25">
      <c r="A15" s="36" t="str">
        <f>'2. WCI Decomposition'!A14</f>
        <v>Henderson</v>
      </c>
      <c r="B15" s="49">
        <f>'2. WCI Decomposition'!E14</f>
        <v>1.5769469696016712E-3</v>
      </c>
      <c r="C15" s="49">
        <f>'2. WCI Decomposition'!G14</f>
        <v>6.3077878784066849E-4</v>
      </c>
    </row>
    <row r="17" spans="1:6" ht="18" customHeight="1" x14ac:dyDescent="0.25">
      <c r="A17" s="10" t="s">
        <v>265</v>
      </c>
      <c r="B17" s="10"/>
      <c r="C17" s="10"/>
      <c r="D17" s="10"/>
      <c r="E17" s="10"/>
      <c r="F17" s="10"/>
    </row>
    <row r="18" spans="1:6" ht="21.75" customHeight="1" x14ac:dyDescent="0.25">
      <c r="A18" s="13" t="s">
        <v>115</v>
      </c>
      <c r="B18" s="13" t="s">
        <v>229</v>
      </c>
      <c r="C18" s="13" t="s">
        <v>226</v>
      </c>
    </row>
    <row r="19" spans="1:6" ht="15" customHeight="1" x14ac:dyDescent="0.25">
      <c r="A19" s="17" t="str">
        <f>'3. Community Equivalence'!A5</f>
        <v>Lebanon</v>
      </c>
      <c r="B19" s="47">
        <f>'3. Community Equivalence'!H5</f>
        <v>0.6787224860652733</v>
      </c>
      <c r="C19" s="51">
        <f>'3. Community Equivalence'!D5</f>
        <v>3261.1313997702609</v>
      </c>
    </row>
    <row r="20" spans="1:6" ht="15" customHeight="1" x14ac:dyDescent="0.25">
      <c r="A20" s="36" t="str">
        <f>'3. Community Equivalence'!A6</f>
        <v>Council Bluffs</v>
      </c>
      <c r="B20" s="49">
        <f>'3. Community Equivalence'!H6</f>
        <v>0.5482353078696286</v>
      </c>
      <c r="C20" s="53">
        <f>'3. Community Equivalence'!D6</f>
        <v>9219.5793535938246</v>
      </c>
    </row>
    <row r="21" spans="1:6" ht="15" customHeight="1" x14ac:dyDescent="0.25">
      <c r="A21" s="17" t="str">
        <f>'3. Community Equivalence'!A7</f>
        <v>Mayes County</v>
      </c>
      <c r="B21" s="47">
        <f>'3. Community Equivalence'!H7</f>
        <v>0.69530364264953548</v>
      </c>
      <c r="C21" s="51">
        <f>'3. Community Equivalence'!D7</f>
        <v>7609.6015436565349</v>
      </c>
    </row>
    <row r="22" spans="1:6" ht="15" customHeight="1" x14ac:dyDescent="0.25">
      <c r="A22" s="36" t="str">
        <f>'3. Community Equivalence'!A8</f>
        <v>The Dalles</v>
      </c>
      <c r="B22" s="49">
        <f>'3. Community Equivalence'!H8</f>
        <v>0.77282841220467025</v>
      </c>
      <c r="C22" s="53">
        <f>'3. Community Equivalence'!D8</f>
        <v>3300.7042932947415</v>
      </c>
    </row>
    <row r="23" spans="1:6" ht="15" customHeight="1" x14ac:dyDescent="0.25">
      <c r="A23" s="17" t="str">
        <f>'3. Community Equivalence'!A9</f>
        <v>Douglas County</v>
      </c>
      <c r="B23" s="47">
        <f>'3. Community Equivalence'!H9</f>
        <v>8.5918075085053433E-2</v>
      </c>
      <c r="C23" s="51">
        <f>'3. Community Equivalence'!D9</f>
        <v>3348.4278822961887</v>
      </c>
    </row>
    <row r="24" spans="1:6" ht="15" customHeight="1" x14ac:dyDescent="0.25">
      <c r="A24" s="36" t="str">
        <f>'3. Community Equivalence'!A10</f>
        <v>Wisconsin Site</v>
      </c>
      <c r="B24" s="49">
        <f>'3. Community Equivalence'!H10</f>
        <v>1.8437736826182615E-2</v>
      </c>
      <c r="C24" s="53">
        <f>'3. Community Equivalence'!D10</f>
        <v>59.059859995839354</v>
      </c>
    </row>
    <row r="25" spans="1:6" ht="15" customHeight="1" x14ac:dyDescent="0.25">
      <c r="A25" s="17" t="str">
        <f>'3. Community Equivalence'!A11</f>
        <v>Botetourt County</v>
      </c>
      <c r="B25" s="47">
        <f>'3. Community Equivalence'!H11</f>
        <v>0.56586404581634642</v>
      </c>
      <c r="C25" s="51">
        <f>'3. Community Equivalence'!D11</f>
        <v>5135.6399996382052</v>
      </c>
    </row>
    <row r="26" spans="1:6" ht="15" customHeight="1" x14ac:dyDescent="0.25">
      <c r="A26" s="36" t="str">
        <f>'3. Community Equivalence'!A12</f>
        <v>Memphis</v>
      </c>
      <c r="B26" s="49">
        <f>'3. Community Equivalence'!H12</f>
        <v>1.5269347268060141E-2</v>
      </c>
      <c r="C26" s="53">
        <f>'3. Community Equivalence'!D12</f>
        <v>2567.8199998191026</v>
      </c>
    </row>
    <row r="27" spans="1:6" ht="15" customHeight="1" x14ac:dyDescent="0.25">
      <c r="A27" s="17" t="str">
        <f>'3. Community Equivalence'!A13</f>
        <v>Midlothian</v>
      </c>
      <c r="B27" s="47">
        <f>'3. Community Equivalence'!H13</f>
        <v>0.15591179241127398</v>
      </c>
      <c r="C27" s="51">
        <f>'3. Community Equivalence'!D13</f>
        <v>1664.7250361794497</v>
      </c>
    </row>
    <row r="28" spans="1:6" ht="15" customHeight="1" x14ac:dyDescent="0.25">
      <c r="A28" s="36" t="str">
        <f>'3. Community Equivalence'!A14</f>
        <v>Henderson</v>
      </c>
      <c r="B28" s="49">
        <f>'3. Community Equivalence'!H14</f>
        <v>2.2163579807672758E-2</v>
      </c>
      <c r="C28" s="53">
        <f>'3. Community Equivalence'!D14</f>
        <v>1893.1866859623731</v>
      </c>
    </row>
    <row r="30" spans="1:6" ht="18" customHeight="1" x14ac:dyDescent="0.25">
      <c r="A30" s="10" t="s">
        <v>266</v>
      </c>
      <c r="B30" s="10"/>
      <c r="C30" s="10"/>
      <c r="D30" s="10"/>
      <c r="E30" s="10"/>
      <c r="F30" s="10"/>
    </row>
    <row r="31" spans="1:6" ht="21.75" customHeight="1" x14ac:dyDescent="0.25">
      <c r="A31" s="13" t="s">
        <v>115</v>
      </c>
      <c r="B31" s="13" t="s">
        <v>261</v>
      </c>
      <c r="C31" s="13" t="s">
        <v>49</v>
      </c>
      <c r="D31" s="13" t="s">
        <v>53</v>
      </c>
      <c r="E31" s="13" t="s">
        <v>187</v>
      </c>
    </row>
    <row r="32" spans="1:6" ht="15" customHeight="1" x14ac:dyDescent="0.25">
      <c r="A32" s="17" t="str">
        <f>'2. WCI Decomposition'!A5</f>
        <v>Lebanon</v>
      </c>
      <c r="B32" s="28">
        <f>'2. WCI Decomposition'!B5</f>
        <v>0.27608695652173915</v>
      </c>
      <c r="C32" s="28">
        <f>'2. WCI Decomposition'!C5</f>
        <v>0.77</v>
      </c>
      <c r="D32" s="34">
        <f>'2. WCI Decomposition'!D5</f>
        <v>6.3</v>
      </c>
      <c r="E32" s="28">
        <f>'2. WCI Decomposition'!E5</f>
        <v>1.3392978260869566</v>
      </c>
    </row>
    <row r="33" spans="1:13" ht="15" customHeight="1" x14ac:dyDescent="0.25">
      <c r="A33" s="36" t="str">
        <f>'2. WCI Decomposition'!A6</f>
        <v>Council Bluffs</v>
      </c>
      <c r="B33" s="40">
        <f>'2. WCI Decomposition'!B6</f>
        <v>0.12870724009802051</v>
      </c>
      <c r="C33" s="40">
        <f>'2. WCI Decomposition'!C6</f>
        <v>0.71599999999999997</v>
      </c>
      <c r="D33" s="42">
        <f>'2. WCI Decomposition'!D6</f>
        <v>6.5</v>
      </c>
      <c r="E33" s="40">
        <f>'2. WCI Decomposition'!E6</f>
        <v>0.59900349541618747</v>
      </c>
    </row>
    <row r="34" spans="1:13" ht="15" customHeight="1" x14ac:dyDescent="0.25">
      <c r="A34" s="17" t="str">
        <f>'2. WCI Decomposition'!A7</f>
        <v>Mayes County</v>
      </c>
      <c r="B34" s="28">
        <f>'2. WCI Decomposition'!B7</f>
        <v>0.3034381795455186</v>
      </c>
      <c r="C34" s="28">
        <f>'2. WCI Decomposition'!C7</f>
        <v>0.752</v>
      </c>
      <c r="D34" s="34">
        <f>'2. WCI Decomposition'!D7</f>
        <v>2.5</v>
      </c>
      <c r="E34" s="28">
        <f>'2. WCI Decomposition'!E7</f>
        <v>0.57046377754557498</v>
      </c>
    </row>
    <row r="35" spans="1:13" ht="15" customHeight="1" x14ac:dyDescent="0.25">
      <c r="A35" s="36" t="str">
        <f>'2. WCI Decomposition'!A8</f>
        <v>The Dalles</v>
      </c>
      <c r="B35" s="40">
        <f>'2. WCI Decomposition'!B8</f>
        <v>0.28054607024450207</v>
      </c>
      <c r="C35" s="40">
        <f>'2. WCI Decomposition'!C8</f>
        <v>0.78400000000000003</v>
      </c>
      <c r="D35" s="42">
        <f>'2. WCI Decomposition'!D8</f>
        <v>2.21</v>
      </c>
      <c r="E35" s="40">
        <f>'2. WCI Decomposition'!E8</f>
        <v>0.48608534314843405</v>
      </c>
    </row>
    <row r="36" spans="1:13" ht="15" customHeight="1" x14ac:dyDescent="0.25">
      <c r="A36" s="17" t="str">
        <f>'2. WCI Decomposition'!A9</f>
        <v>Douglas County</v>
      </c>
      <c r="B36" s="28">
        <f>'2. WCI Decomposition'!B9</f>
        <v>0.15194872609350515</v>
      </c>
      <c r="C36" s="28">
        <f>'2. WCI Decomposition'!C9</f>
        <v>0.82599999999999996</v>
      </c>
      <c r="D36" s="34">
        <f>'2. WCI Decomposition'!D9</f>
        <v>2.5</v>
      </c>
      <c r="E36" s="28">
        <f>'2. WCI Decomposition'!E9</f>
        <v>0.31377411938308813</v>
      </c>
    </row>
    <row r="37" spans="1:13" ht="15" customHeight="1" x14ac:dyDescent="0.25">
      <c r="A37" s="36" t="str">
        <f>'2. WCI Decomposition'!A10</f>
        <v>Wisconsin Site</v>
      </c>
      <c r="B37" s="40">
        <f>'2. WCI Decomposition'!B10</f>
        <v>1.15E-2</v>
      </c>
      <c r="C37" s="40">
        <f>'2. WCI Decomposition'!C10</f>
        <v>0.77</v>
      </c>
      <c r="D37" s="42">
        <f>'2. WCI Decomposition'!D10</f>
        <v>30</v>
      </c>
      <c r="E37" s="40">
        <f>'2. WCI Decomposition'!E10</f>
        <v>0.26565</v>
      </c>
    </row>
    <row r="38" spans="1:13" ht="15" customHeight="1" x14ac:dyDescent="0.25">
      <c r="A38" s="17" t="str">
        <f>'2. WCI Decomposition'!A11</f>
        <v>Botetourt County</v>
      </c>
      <c r="B38" s="28">
        <f>'2. WCI Decomposition'!B11</f>
        <v>7.1428571428571425E-2</v>
      </c>
      <c r="C38" s="28">
        <f>'2. WCI Decomposition'!C11</f>
        <v>0.77</v>
      </c>
      <c r="D38" s="34">
        <f>'2. WCI Decomposition'!D11</f>
        <v>2.5</v>
      </c>
      <c r="E38" s="28">
        <f>'2. WCI Decomposition'!E11</f>
        <v>0.13750000000000001</v>
      </c>
    </row>
    <row r="39" spans="1:13" ht="15" customHeight="1" x14ac:dyDescent="0.25">
      <c r="A39" s="36" t="str">
        <f>'2. WCI Decomposition'!A12</f>
        <v>Memphis</v>
      </c>
      <c r="B39" s="40">
        <f>'2. WCI Decomposition'!B12</f>
        <v>3.875968992248062E-3</v>
      </c>
      <c r="C39" s="40">
        <f>'2. WCI Decomposition'!C12</f>
        <v>0.77</v>
      </c>
      <c r="D39" s="42">
        <f>'2. WCI Decomposition'!D12</f>
        <v>4.5</v>
      </c>
      <c r="E39" s="40">
        <f>'2. WCI Decomposition'!E12</f>
        <v>1.3430232558139535E-2</v>
      </c>
    </row>
    <row r="40" spans="1:13" ht="15" customHeight="1" x14ac:dyDescent="0.25">
      <c r="A40" s="17" t="str">
        <f>'2. WCI Decomposition'!A13</f>
        <v>Midlothian</v>
      </c>
      <c r="B40" s="28">
        <f>'2. WCI Decomposition'!B13</f>
        <v>1.6807851787922545E-2</v>
      </c>
      <c r="C40" s="28">
        <f>'2. WCI Decomposition'!C13</f>
        <v>0.82499999999999996</v>
      </c>
      <c r="D40" s="34">
        <f>'2. WCI Decomposition'!D13</f>
        <v>2.5</v>
      </c>
      <c r="E40" s="28">
        <f>'2. WCI Decomposition'!E13</f>
        <v>3.466619431259025E-2</v>
      </c>
    </row>
    <row r="41" spans="1:13" ht="15" customHeight="1" x14ac:dyDescent="0.25">
      <c r="A41" s="36" t="str">
        <f>'2. WCI Decomposition'!A14</f>
        <v>Henderson</v>
      </c>
      <c r="B41" s="40">
        <f>'2. WCI Decomposition'!B14</f>
        <v>1.0951020622233828E-3</v>
      </c>
      <c r="C41" s="40">
        <f>'2. WCI Decomposition'!C14</f>
        <v>0.57599999999999996</v>
      </c>
      <c r="D41" s="42">
        <f>'2. WCI Decomposition'!D14</f>
        <v>2.5</v>
      </c>
      <c r="E41" s="40">
        <f>'2. WCI Decomposition'!E14</f>
        <v>1.5769469696016712E-3</v>
      </c>
    </row>
    <row r="43" spans="1:13" ht="18" customHeight="1" x14ac:dyDescent="0.25">
      <c r="A43" s="10" t="s">
        <v>267</v>
      </c>
      <c r="B43" s="10"/>
      <c r="C43" s="10"/>
      <c r="D43" s="10"/>
      <c r="E43" s="10"/>
      <c r="F43" s="10"/>
    </row>
    <row r="44" spans="1:13" ht="21.75" customHeight="1" x14ac:dyDescent="0.25">
      <c r="A44" s="13" t="s">
        <v>115</v>
      </c>
      <c r="B44" s="56">
        <v>2024</v>
      </c>
      <c r="C44" s="56">
        <v>2025</v>
      </c>
      <c r="D44" s="56">
        <v>2026</v>
      </c>
      <c r="E44" s="56">
        <v>2027</v>
      </c>
      <c r="F44" s="56">
        <v>2028</v>
      </c>
      <c r="G44" s="56">
        <v>2029</v>
      </c>
      <c r="H44" s="61">
        <v>2030</v>
      </c>
      <c r="I44" s="61">
        <v>2031</v>
      </c>
      <c r="J44" s="61">
        <v>2032</v>
      </c>
      <c r="K44" s="61">
        <v>2033</v>
      </c>
      <c r="L44" s="61">
        <v>2034</v>
      </c>
      <c r="M44" s="61">
        <v>2035</v>
      </c>
    </row>
    <row r="45" spans="1:13" ht="15" customHeight="1" x14ac:dyDescent="0.25">
      <c r="A45" s="17" t="str">
        <f>'2. WCI Decomposition'!A5</f>
        <v>Lebanon</v>
      </c>
      <c r="B45" s="62">
        <f>'4. Growth Projections'!C23</f>
        <v>1.3392978260869566</v>
      </c>
      <c r="C45" s="62">
        <f>'4. Growth Projections'!D23</f>
        <v>1.5134065434782609</v>
      </c>
      <c r="D45" s="62">
        <f>'4. Growth Projections'!E23</f>
        <v>1.7101493941304344</v>
      </c>
      <c r="E45" s="62">
        <f>'4. Growth Projections'!F23</f>
        <v>1.9324688153673906</v>
      </c>
      <c r="F45" s="62">
        <f>'4. Growth Projections'!G23</f>
        <v>2.1836897613651511</v>
      </c>
      <c r="G45" s="62">
        <f>'4. Growth Projections'!H23</f>
        <v>2.4675694303426208</v>
      </c>
      <c r="H45" s="63">
        <f>'4. Growth Projections'!I23</f>
        <v>2.7883534562871608</v>
      </c>
      <c r="I45" s="63">
        <f>'4. Growth Projections'!J23</f>
        <v>3.1508394056044913</v>
      </c>
      <c r="J45" s="63">
        <f>'4. Growth Projections'!K23</f>
        <v>3.5604485283330751</v>
      </c>
      <c r="K45" s="63">
        <f>'4. Growth Projections'!L23</f>
        <v>4.0233068370163743</v>
      </c>
      <c r="L45" s="63">
        <f>'4. Growth Projections'!M23</f>
        <v>4.5463367258285023</v>
      </c>
      <c r="M45" s="63">
        <f>'4. Growth Projections'!N23</f>
        <v>5.1373605001862073</v>
      </c>
    </row>
    <row r="46" spans="1:13" ht="15" customHeight="1" x14ac:dyDescent="0.25">
      <c r="A46" s="36" t="str">
        <f>'2. WCI Decomposition'!A6</f>
        <v>Council Bluffs</v>
      </c>
      <c r="B46" s="64">
        <f>'4. Growth Projections'!C24</f>
        <v>0.59900349541618747</v>
      </c>
      <c r="C46" s="64">
        <f>'4. Growth Projections'!D24</f>
        <v>0.67687394982029181</v>
      </c>
      <c r="D46" s="64">
        <f>'4. Growth Projections'!E24</f>
        <v>0.76486756329692962</v>
      </c>
      <c r="E46" s="64">
        <f>'4. Growth Projections'!F24</f>
        <v>0.86430034652553034</v>
      </c>
      <c r="F46" s="64">
        <f>'4. Growth Projections'!G24</f>
        <v>0.97665939157384918</v>
      </c>
      <c r="G46" s="64">
        <f>'4. Growth Projections'!H24</f>
        <v>1.1036251124784495</v>
      </c>
      <c r="H46" s="63">
        <f>'4. Growth Projections'!I24</f>
        <v>1.2470963771006476</v>
      </c>
      <c r="I46" s="63">
        <f>'4. Growth Projections'!J24</f>
        <v>1.4092189061237317</v>
      </c>
      <c r="J46" s="63">
        <f>'4. Growth Projections'!K24</f>
        <v>1.5924173639198167</v>
      </c>
      <c r="K46" s="63">
        <f>'4. Growth Projections'!L24</f>
        <v>1.7994316212293928</v>
      </c>
      <c r="L46" s="63">
        <f>'4. Growth Projections'!M24</f>
        <v>2.0333577319892138</v>
      </c>
      <c r="M46" s="63">
        <f>'4. Growth Projections'!N24</f>
        <v>2.2976942371478111</v>
      </c>
    </row>
    <row r="47" spans="1:13" ht="15" customHeight="1" x14ac:dyDescent="0.25">
      <c r="A47" s="17" t="str">
        <f>'2. WCI Decomposition'!A7</f>
        <v>Mayes County</v>
      </c>
      <c r="B47" s="62">
        <f>'4. Growth Projections'!C25</f>
        <v>0.57046377754557498</v>
      </c>
      <c r="C47" s="62">
        <f>'4. Growth Projections'!D25</f>
        <v>0.64462406862649968</v>
      </c>
      <c r="D47" s="62">
        <f>'4. Growth Projections'!E25</f>
        <v>0.72842519754794455</v>
      </c>
      <c r="E47" s="62">
        <f>'4. Growth Projections'!F25</f>
        <v>0.82312047322917714</v>
      </c>
      <c r="F47" s="62">
        <f>'4. Growth Projections'!G25</f>
        <v>0.9301261347489701</v>
      </c>
      <c r="G47" s="62">
        <f>'4. Growth Projections'!H25</f>
        <v>1.0510425322663361</v>
      </c>
      <c r="H47" s="63">
        <f>'4. Growth Projections'!I25</f>
        <v>1.1876780614609597</v>
      </c>
      <c r="I47" s="63">
        <f>'4. Growth Projections'!J25</f>
        <v>1.3420762094508842</v>
      </c>
      <c r="J47" s="63">
        <f>'4. Growth Projections'!K25</f>
        <v>1.5165461166794991</v>
      </c>
      <c r="K47" s="63">
        <f>'4. Growth Projections'!L25</f>
        <v>1.7136971118478339</v>
      </c>
      <c r="L47" s="63">
        <f>'4. Growth Projections'!M25</f>
        <v>1.9364777363880521</v>
      </c>
      <c r="M47" s="63">
        <f>'4. Growth Projections'!N25</f>
        <v>2.1882198421184982</v>
      </c>
    </row>
    <row r="48" spans="1:13" ht="15" customHeight="1" x14ac:dyDescent="0.25">
      <c r="A48" s="36" t="str">
        <f>'2. WCI Decomposition'!A8</f>
        <v>The Dalles</v>
      </c>
      <c r="B48" s="64">
        <f>'4. Growth Projections'!C26</f>
        <v>0.48608534314843405</v>
      </c>
      <c r="C48" s="64">
        <f>'4. Growth Projections'!D26</f>
        <v>0.54927643775773038</v>
      </c>
      <c r="D48" s="64">
        <f>'4. Growth Projections'!E26</f>
        <v>0.62068237466623533</v>
      </c>
      <c r="E48" s="64">
        <f>'4. Growth Projections'!F26</f>
        <v>0.70137108337284582</v>
      </c>
      <c r="F48" s="64">
        <f>'4. Growth Projections'!G26</f>
        <v>0.79254932421131563</v>
      </c>
      <c r="G48" s="64">
        <f>'4. Growth Projections'!H26</f>
        <v>0.89558073635878654</v>
      </c>
      <c r="H48" s="63">
        <f>'4. Growth Projections'!I26</f>
        <v>1.0120062320854286</v>
      </c>
      <c r="I48" s="63">
        <f>'4. Growth Projections'!J26</f>
        <v>1.1435670422565343</v>
      </c>
      <c r="J48" s="63">
        <f>'4. Growth Projections'!K26</f>
        <v>1.2922307577498837</v>
      </c>
      <c r="K48" s="63">
        <f>'4. Growth Projections'!L26</f>
        <v>1.4602207562573684</v>
      </c>
      <c r="L48" s="63">
        <f>'4. Growth Projections'!M26</f>
        <v>1.650049454570826</v>
      </c>
      <c r="M48" s="63">
        <f>'4. Growth Projections'!N26</f>
        <v>1.8645558836650331</v>
      </c>
    </row>
    <row r="49" spans="1:13" ht="15" customHeight="1" x14ac:dyDescent="0.25">
      <c r="A49" s="17" t="str">
        <f>'2. WCI Decomposition'!A9</f>
        <v>Douglas County</v>
      </c>
      <c r="B49" s="62">
        <f>'4. Growth Projections'!C27</f>
        <v>0.31377411938308813</v>
      </c>
      <c r="C49" s="62">
        <f>'4. Growth Projections'!D27</f>
        <v>0.35456475490288958</v>
      </c>
      <c r="D49" s="62">
        <f>'4. Growth Projections'!E27</f>
        <v>0.40065817304026513</v>
      </c>
      <c r="E49" s="62">
        <f>'4. Growth Projections'!F27</f>
        <v>0.45274373553549951</v>
      </c>
      <c r="F49" s="62">
        <f>'4. Growth Projections'!G27</f>
        <v>0.51160042115511439</v>
      </c>
      <c r="G49" s="62">
        <f>'4. Growth Projections'!H27</f>
        <v>0.57810847590527925</v>
      </c>
      <c r="H49" s="63">
        <f>'4. Growth Projections'!I27</f>
        <v>0.65326257777296537</v>
      </c>
      <c r="I49" s="63">
        <f>'4. Growth Projections'!J27</f>
        <v>0.73818671288345084</v>
      </c>
      <c r="J49" s="63">
        <f>'4. Growth Projections'!K27</f>
        <v>0.83415098555829947</v>
      </c>
      <c r="K49" s="63">
        <f>'4. Growth Projections'!L27</f>
        <v>0.94259061368087826</v>
      </c>
      <c r="L49" s="63">
        <f>'4. Growth Projections'!M27</f>
        <v>1.0651273934593923</v>
      </c>
      <c r="M49" s="63">
        <f>'4. Growth Projections'!N27</f>
        <v>1.2035939546091132</v>
      </c>
    </row>
    <row r="50" spans="1:13" ht="15" customHeight="1" x14ac:dyDescent="0.25">
      <c r="A50" s="36" t="str">
        <f>'2. WCI Decomposition'!A10</f>
        <v>Wisconsin Site</v>
      </c>
      <c r="B50" s="64">
        <f>'4. Growth Projections'!C28</f>
        <v>0.26565</v>
      </c>
      <c r="C50" s="64">
        <f>'4. Growth Projections'!D28</f>
        <v>0.30018449999999997</v>
      </c>
      <c r="D50" s="64">
        <f>'4. Growth Projections'!E28</f>
        <v>0.33920848499999989</v>
      </c>
      <c r="E50" s="64">
        <f>'4. Growth Projections'!F28</f>
        <v>0.38330558804999987</v>
      </c>
      <c r="F50" s="64">
        <f>'4. Growth Projections'!G28</f>
        <v>0.43313531449649978</v>
      </c>
      <c r="G50" s="64">
        <f>'4. Growth Projections'!H28</f>
        <v>0.48944290538104468</v>
      </c>
      <c r="H50" s="63">
        <f>'4. Growth Projections'!I28</f>
        <v>0.55307048308058038</v>
      </c>
      <c r="I50" s="63">
        <f>'4. Growth Projections'!J28</f>
        <v>0.62496964588105586</v>
      </c>
      <c r="J50" s="63">
        <f>'4. Growth Projections'!K28</f>
        <v>0.70621569984559307</v>
      </c>
      <c r="K50" s="63">
        <f>'4. Growth Projections'!L28</f>
        <v>0.79802374082552008</v>
      </c>
      <c r="L50" s="63">
        <f>'4. Growth Projections'!M28</f>
        <v>0.90176682713283751</v>
      </c>
      <c r="M50" s="63">
        <f>'4. Growth Projections'!N28</f>
        <v>1.0189965146601063</v>
      </c>
    </row>
    <row r="51" spans="1:13" ht="15" customHeight="1" x14ac:dyDescent="0.25">
      <c r="A51" s="17" t="str">
        <f>'2. WCI Decomposition'!A11</f>
        <v>Botetourt County</v>
      </c>
      <c r="B51" s="62">
        <f>'4. Growth Projections'!C29</f>
        <v>0.13750000000000001</v>
      </c>
      <c r="C51" s="62">
        <f>'4. Growth Projections'!D29</f>
        <v>0.15537499999999999</v>
      </c>
      <c r="D51" s="62">
        <f>'4. Growth Projections'!E29</f>
        <v>0.17557374999999997</v>
      </c>
      <c r="E51" s="62">
        <f>'4. Growth Projections'!F29</f>
        <v>0.19839833749999994</v>
      </c>
      <c r="F51" s="62">
        <f>'4. Growth Projections'!G29</f>
        <v>0.22419012137499991</v>
      </c>
      <c r="G51" s="62">
        <f>'4. Growth Projections'!H29</f>
        <v>0.25333483715374988</v>
      </c>
      <c r="H51" s="63">
        <f>'4. Growth Projections'!I29</f>
        <v>0.28626836598373728</v>
      </c>
      <c r="I51" s="63">
        <f>'4. Growth Projections'!J29</f>
        <v>0.32348325356162311</v>
      </c>
      <c r="J51" s="63">
        <f>'4. Growth Projections'!K29</f>
        <v>0.3655360765246341</v>
      </c>
      <c r="K51" s="63">
        <f>'4. Growth Projections'!L29</f>
        <v>0.41305576647283654</v>
      </c>
      <c r="L51" s="63">
        <f>'4. Growth Projections'!M29</f>
        <v>0.4667530161143052</v>
      </c>
      <c r="M51" s="63">
        <f>'4. Growth Projections'!N29</f>
        <v>0.52743090820916483</v>
      </c>
    </row>
    <row r="52" spans="1:13" ht="15" customHeight="1" x14ac:dyDescent="0.25">
      <c r="A52" s="36" t="str">
        <f>'2. WCI Decomposition'!A12</f>
        <v>Memphis</v>
      </c>
      <c r="B52" s="64">
        <f>'4. Growth Projections'!C30</f>
        <v>1.3430232558139535E-2</v>
      </c>
      <c r="C52" s="64">
        <f>'4. Growth Projections'!D30</f>
        <v>1.5176162790697672E-2</v>
      </c>
      <c r="D52" s="64">
        <f>'4. Growth Projections'!E30</f>
        <v>1.7149063953488367E-2</v>
      </c>
      <c r="E52" s="64">
        <f>'4. Growth Projections'!F30</f>
        <v>1.9378442267441853E-2</v>
      </c>
      <c r="F52" s="64">
        <f>'4. Growth Projections'!G30</f>
        <v>2.1897639762209292E-2</v>
      </c>
      <c r="G52" s="64">
        <f>'4. Growth Projections'!H30</f>
        <v>2.4744332931296496E-2</v>
      </c>
      <c r="H52" s="63">
        <f>'4. Growth Projections'!I30</f>
        <v>2.7961096212365037E-2</v>
      </c>
      <c r="I52" s="63">
        <f>'4. Growth Projections'!J30</f>
        <v>3.1596038719972491E-2</v>
      </c>
      <c r="J52" s="63">
        <f>'4. Growth Projections'!K30</f>
        <v>3.570352375356891E-2</v>
      </c>
      <c r="K52" s="63">
        <f>'4. Growth Projections'!L30</f>
        <v>4.0344981841532866E-2</v>
      </c>
      <c r="L52" s="63">
        <f>'4. Growth Projections'!M30</f>
        <v>4.5589829480932133E-2</v>
      </c>
      <c r="M52" s="63">
        <f>'4. Growth Projections'!N30</f>
        <v>5.1516507313453301E-2</v>
      </c>
    </row>
    <row r="53" spans="1:13" ht="15" customHeight="1" x14ac:dyDescent="0.25">
      <c r="A53" s="17" t="str">
        <f>'2. WCI Decomposition'!A13</f>
        <v>Midlothian</v>
      </c>
      <c r="B53" s="62">
        <f>'4. Growth Projections'!C31</f>
        <v>3.466619431259025E-2</v>
      </c>
      <c r="C53" s="62">
        <f>'4. Growth Projections'!D31</f>
        <v>3.9172799573226981E-2</v>
      </c>
      <c r="D53" s="62">
        <f>'4. Growth Projections'!E31</f>
        <v>4.4265263517746477E-2</v>
      </c>
      <c r="E53" s="62">
        <f>'4. Growth Projections'!F31</f>
        <v>5.0019747775053511E-2</v>
      </c>
      <c r="F53" s="62">
        <f>'4. Growth Projections'!G31</f>
        <v>5.6522314985810465E-2</v>
      </c>
      <c r="G53" s="62">
        <f>'4. Growth Projections'!H31</f>
        <v>6.3870215933965815E-2</v>
      </c>
      <c r="H53" s="63">
        <f>'4. Growth Projections'!I31</f>
        <v>7.2173344005381362E-2</v>
      </c>
      <c r="I53" s="63">
        <f>'4. Growth Projections'!J31</f>
        <v>8.155587872608093E-2</v>
      </c>
      <c r="J53" s="63">
        <f>'4. Growth Projections'!K31</f>
        <v>9.2158142960471451E-2</v>
      </c>
      <c r="K53" s="63">
        <f>'4. Growth Projections'!L31</f>
        <v>0.10413870154533272</v>
      </c>
      <c r="L53" s="63">
        <f>'4. Growth Projections'!M31</f>
        <v>0.11767673274622596</v>
      </c>
      <c r="M53" s="63">
        <f>'4. Growth Projections'!N31</f>
        <v>0.13297470800323533</v>
      </c>
    </row>
    <row r="54" spans="1:13" ht="15" customHeight="1" x14ac:dyDescent="0.25">
      <c r="A54" s="36" t="str">
        <f>'2. WCI Decomposition'!A14</f>
        <v>Henderson</v>
      </c>
      <c r="B54" s="64">
        <f>'4. Growth Projections'!C32</f>
        <v>1.5769469696016712E-3</v>
      </c>
      <c r="C54" s="64">
        <f>'4. Growth Projections'!D32</f>
        <v>1.7819500756498883E-3</v>
      </c>
      <c r="D54" s="64">
        <f>'4. Growth Projections'!E32</f>
        <v>2.0136035854843733E-3</v>
      </c>
      <c r="E54" s="64">
        <f>'4. Growth Projections'!F32</f>
        <v>2.2753720515973417E-3</v>
      </c>
      <c r="F54" s="64">
        <f>'4. Growth Projections'!G32</f>
        <v>2.5711704183049959E-3</v>
      </c>
      <c r="G54" s="64">
        <f>'4. Growth Projections'!H32</f>
        <v>2.9054225726846449E-3</v>
      </c>
      <c r="H54" s="63">
        <f>'4. Growth Projections'!I32</f>
        <v>3.2831275071336483E-3</v>
      </c>
      <c r="I54" s="63">
        <f>'4. Growth Projections'!J32</f>
        <v>3.7099340830610223E-3</v>
      </c>
      <c r="J54" s="63">
        <f>'4. Growth Projections'!K32</f>
        <v>4.1922255138589553E-3</v>
      </c>
      <c r="K54" s="63">
        <f>'4. Growth Projections'!L32</f>
        <v>4.7372148306606184E-3</v>
      </c>
      <c r="L54" s="63">
        <f>'4. Growth Projections'!M32</f>
        <v>5.3530527586464986E-3</v>
      </c>
      <c r="M54" s="63">
        <f>'4. Growth Projections'!N32</f>
        <v>6.0489496172705416E-3</v>
      </c>
    </row>
  </sheetData>
  <mergeCells count="6">
    <mergeCell ref="A43:F43"/>
    <mergeCell ref="A1:F1"/>
    <mergeCell ref="A2:F2"/>
    <mergeCell ref="A4:F4"/>
    <mergeCell ref="A17:F17"/>
    <mergeCell ref="A30:F30"/>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6"/>
  <sheetViews>
    <sheetView showGridLines="0" zoomScaleNormal="100" workbookViewId="0">
      <pane ySplit="9" topLeftCell="A10" activePane="bottomLeft" state="frozen"/>
      <selection pane="bottomLeft" sqref="A1:O1"/>
    </sheetView>
  </sheetViews>
  <sheetFormatPr defaultColWidth="8.7109375" defaultRowHeight="15" customHeight="1" x14ac:dyDescent="0.25"/>
  <cols>
    <col min="1" max="1" width="18" customWidth="1"/>
    <col min="2" max="5" width="10" customWidth="1"/>
    <col min="6" max="6" width="11" customWidth="1"/>
    <col min="7" max="8" width="9" customWidth="1"/>
    <col min="9" max="9" width="11" customWidth="1"/>
    <col min="10" max="11" width="9" customWidth="1"/>
    <col min="12" max="12" width="11" customWidth="1"/>
    <col min="13" max="14" width="9" customWidth="1"/>
    <col min="15" max="15" width="14" customWidth="1"/>
    <col min="17" max="17" width="22" customWidth="1"/>
    <col min="18" max="18" width="11" customWidth="1"/>
    <col min="19" max="20" width="13" customWidth="1"/>
  </cols>
  <sheetData>
    <row r="1" spans="1:20" ht="25.5" customHeight="1" x14ac:dyDescent="0.25">
      <c r="A1" s="12" t="s">
        <v>268</v>
      </c>
      <c r="B1" s="12"/>
      <c r="C1" s="12"/>
      <c r="D1" s="12"/>
      <c r="E1" s="12"/>
      <c r="F1" s="12"/>
      <c r="G1" s="12"/>
      <c r="H1" s="12"/>
      <c r="I1" s="12"/>
      <c r="J1" s="12"/>
      <c r="K1" s="12"/>
      <c r="L1" s="12"/>
      <c r="M1" s="12"/>
      <c r="N1" s="12"/>
      <c r="O1" s="12"/>
    </row>
    <row r="2" spans="1:20" ht="19.5" customHeight="1" x14ac:dyDescent="0.25">
      <c r="A2" s="11" t="s">
        <v>269</v>
      </c>
      <c r="B2" s="11"/>
      <c r="C2" s="11"/>
      <c r="D2" s="11"/>
      <c r="E2" s="11"/>
      <c r="F2" s="11"/>
      <c r="G2" s="11"/>
      <c r="H2" s="11"/>
      <c r="I2" s="11"/>
      <c r="J2" s="11"/>
      <c r="K2" s="11"/>
      <c r="L2" s="11"/>
      <c r="M2" s="11"/>
      <c r="N2" s="11"/>
      <c r="O2" s="11"/>
    </row>
    <row r="4" spans="1:20" ht="18" customHeight="1" x14ac:dyDescent="0.25">
      <c r="A4" s="10" t="s">
        <v>270</v>
      </c>
      <c r="B4" s="10"/>
      <c r="C4" s="10"/>
      <c r="D4" s="10"/>
      <c r="E4" s="10"/>
      <c r="F4" s="10"/>
      <c r="G4" s="10"/>
      <c r="H4" s="10"/>
      <c r="I4" s="10"/>
      <c r="J4" s="10"/>
      <c r="K4" s="10"/>
      <c r="L4" s="10"/>
      <c r="M4" s="10"/>
      <c r="N4" s="10"/>
      <c r="O4" s="10"/>
      <c r="Q4" t="s">
        <v>271</v>
      </c>
    </row>
    <row r="5" spans="1:20" ht="19.5" customHeight="1" x14ac:dyDescent="0.25">
      <c r="A5" s="55" t="s">
        <v>272</v>
      </c>
      <c r="B5" s="65">
        <v>0.75</v>
      </c>
      <c r="C5" s="1" t="s">
        <v>273</v>
      </c>
      <c r="D5" s="1"/>
      <c r="E5" s="1"/>
      <c r="F5" s="1"/>
      <c r="G5" s="1"/>
      <c r="H5" s="1"/>
      <c r="I5" s="1"/>
      <c r="J5" s="1"/>
      <c r="K5" s="1"/>
      <c r="L5" s="1"/>
      <c r="M5" s="1"/>
      <c r="N5" s="1"/>
      <c r="O5" s="1"/>
      <c r="Q5" s="66" t="s">
        <v>115</v>
      </c>
      <c r="R5" s="66" t="s">
        <v>274</v>
      </c>
      <c r="S5" s="66" t="s">
        <v>275</v>
      </c>
      <c r="T5" s="66" t="s">
        <v>276</v>
      </c>
    </row>
    <row r="6" spans="1:20" ht="19.5" customHeight="1" x14ac:dyDescent="0.25">
      <c r="A6" s="55" t="s">
        <v>277</v>
      </c>
      <c r="B6" s="65">
        <v>0.25</v>
      </c>
      <c r="C6" s="1" t="s">
        <v>278</v>
      </c>
      <c r="D6" s="1"/>
      <c r="E6" s="1"/>
      <c r="F6" s="1"/>
      <c r="G6" s="1"/>
      <c r="H6" s="1"/>
      <c r="I6" s="1"/>
      <c r="J6" s="1"/>
      <c r="K6" s="1"/>
      <c r="L6" s="1"/>
      <c r="M6" s="1"/>
      <c r="N6" s="1"/>
      <c r="O6" s="1"/>
      <c r="Q6" t="str">
        <f>'2. WCI Decomposition'!A5</f>
        <v>Lebanon</v>
      </c>
      <c r="R6" s="67">
        <f t="shared" ref="R6:R15" si="0">H10</f>
        <v>0.25000000000000011</v>
      </c>
      <c r="S6" s="67">
        <f t="shared" ref="S6:S15" si="1">K10</f>
        <v>0.67532467532467533</v>
      </c>
      <c r="T6" s="67">
        <f t="shared" ref="T6:T15" si="2">N10</f>
        <v>0.68253968253968256</v>
      </c>
    </row>
    <row r="7" spans="1:20" ht="19.5" customHeight="1" x14ac:dyDescent="0.25">
      <c r="A7" s="55" t="s">
        <v>279</v>
      </c>
      <c r="B7" s="65">
        <v>2</v>
      </c>
      <c r="C7" s="1" t="s">
        <v>280</v>
      </c>
      <c r="D7" s="1"/>
      <c r="E7" s="1"/>
      <c r="F7" s="1"/>
      <c r="G7" s="1"/>
      <c r="H7" s="1"/>
      <c r="I7" s="1"/>
      <c r="J7" s="1"/>
      <c r="K7" s="1"/>
      <c r="L7" s="1"/>
      <c r="M7" s="1"/>
      <c r="N7" s="1"/>
      <c r="O7" s="1"/>
      <c r="Q7" t="str">
        <f>'2. WCI Decomposition'!A6</f>
        <v>Council Bluffs</v>
      </c>
      <c r="R7" s="67">
        <f t="shared" si="0"/>
        <v>0.24999999999999994</v>
      </c>
      <c r="S7" s="67">
        <f t="shared" si="1"/>
        <v>0.65083798882681565</v>
      </c>
      <c r="T7" s="67">
        <f t="shared" si="2"/>
        <v>0.69230769230769229</v>
      </c>
    </row>
    <row r="8" spans="1:20" ht="15" customHeight="1" x14ac:dyDescent="0.25">
      <c r="Q8" t="str">
        <f>'2. WCI Decomposition'!A7</f>
        <v>Mayes County</v>
      </c>
      <c r="R8" s="67">
        <f t="shared" si="0"/>
        <v>0.25</v>
      </c>
      <c r="S8" s="67">
        <f t="shared" si="1"/>
        <v>0.66755319148936176</v>
      </c>
      <c r="T8" s="67">
        <f t="shared" si="2"/>
        <v>0.20000000000000004</v>
      </c>
    </row>
    <row r="9" spans="1:20" ht="33.75" customHeight="1" x14ac:dyDescent="0.25">
      <c r="A9" s="13" t="s">
        <v>115</v>
      </c>
      <c r="B9" s="13" t="s">
        <v>281</v>
      </c>
      <c r="C9" s="13" t="s">
        <v>282</v>
      </c>
      <c r="D9" s="13" t="s">
        <v>283</v>
      </c>
      <c r="E9" s="13" t="s">
        <v>284</v>
      </c>
      <c r="F9" s="13" t="s">
        <v>285</v>
      </c>
      <c r="G9" s="13" t="s">
        <v>286</v>
      </c>
      <c r="H9" s="13" t="s">
        <v>287</v>
      </c>
      <c r="I9" s="13" t="s">
        <v>288</v>
      </c>
      <c r="J9" s="13" t="s">
        <v>289</v>
      </c>
      <c r="K9" s="13" t="s">
        <v>290</v>
      </c>
      <c r="L9" s="13" t="s">
        <v>291</v>
      </c>
      <c r="M9" s="13" t="s">
        <v>292</v>
      </c>
      <c r="N9" s="13" t="s">
        <v>293</v>
      </c>
      <c r="O9" s="13" t="s">
        <v>294</v>
      </c>
      <c r="Q9" t="str">
        <f>'2. WCI Decomposition'!A8</f>
        <v>The Dalles</v>
      </c>
      <c r="R9" s="67">
        <f t="shared" si="0"/>
        <v>0.24999999999999997</v>
      </c>
      <c r="S9" s="67">
        <f t="shared" si="1"/>
        <v>0.68112244897959184</v>
      </c>
      <c r="T9" s="67">
        <f t="shared" si="2"/>
        <v>9.5022624434389094E-2</v>
      </c>
    </row>
    <row r="10" spans="1:20" ht="24" customHeight="1" x14ac:dyDescent="0.25">
      <c r="A10" s="17" t="str">
        <f>'2. WCI Decomposition'!A5</f>
        <v>Lebanon</v>
      </c>
      <c r="B10" s="28">
        <f>'2. WCI Decomposition'!B5</f>
        <v>0.27608695652173915</v>
      </c>
      <c r="C10" s="28">
        <f>'2. WCI Decomposition'!C5</f>
        <v>0.77</v>
      </c>
      <c r="D10" s="28">
        <f>'2. WCI Decomposition'!D5</f>
        <v>6.3</v>
      </c>
      <c r="E10" s="28">
        <f>'2. WCI Decomposition'!E5</f>
        <v>1.3392978260869566</v>
      </c>
      <c r="F10" s="28">
        <f t="shared" ref="F10:F19" si="3">B10*$B$5*C10*D10</f>
        <v>1.0044733695652173</v>
      </c>
      <c r="G10" s="28">
        <f t="shared" ref="G10:G19" si="4">E10-F10</f>
        <v>0.33482445652173931</v>
      </c>
      <c r="H10" s="47">
        <f t="shared" ref="H10:H19" si="5">IFERROR((E10-F10)/E10,0)</f>
        <v>0.25000000000000011</v>
      </c>
      <c r="I10" s="28">
        <f t="shared" ref="I10:I19" si="6">B10*MIN(C10,$B$6)*D10</f>
        <v>0.43483695652173915</v>
      </c>
      <c r="J10" s="28">
        <f t="shared" ref="J10:J19" si="7">E10-I10</f>
        <v>0.90446086956521743</v>
      </c>
      <c r="K10" s="47">
        <f t="shared" ref="K10:K19" si="8">IFERROR((E10-I10)/E10,0)</f>
        <v>0.67532467532467533</v>
      </c>
      <c r="L10" s="28">
        <f t="shared" ref="L10:L19" si="9">B10*C10*MIN(D10,$B$7)</f>
        <v>0.42517391304347829</v>
      </c>
      <c r="M10" s="28">
        <f t="shared" ref="M10:M19" si="10">E10-L10</f>
        <v>0.91412391304347829</v>
      </c>
      <c r="N10" s="47">
        <f t="shared" ref="N10:N19" si="11">IFERROR((E10-L10)/E10,0)</f>
        <v>0.68253968253968256</v>
      </c>
      <c r="O10" s="48" t="str">
        <f t="shared" ref="O10:O19" si="12">IF(G10=MAX(G10,J10,M10),"Siting",IF(J10=MAX(G10,J10,M10),"Technology","Management"))</f>
        <v>Management</v>
      </c>
      <c r="Q10" t="str">
        <f>'2. WCI Decomposition'!A9</f>
        <v>Douglas County</v>
      </c>
      <c r="R10" s="67">
        <f t="shared" si="0"/>
        <v>0.25000000000000011</v>
      </c>
      <c r="S10" s="67">
        <f t="shared" si="1"/>
        <v>0.69733656174334135</v>
      </c>
      <c r="T10" s="67">
        <f t="shared" si="2"/>
        <v>0.2</v>
      </c>
    </row>
    <row r="11" spans="1:20" ht="24" customHeight="1" x14ac:dyDescent="0.25">
      <c r="A11" s="36" t="str">
        <f>'2. WCI Decomposition'!A6</f>
        <v>Council Bluffs</v>
      </c>
      <c r="B11" s="40">
        <f>'2. WCI Decomposition'!B6</f>
        <v>0.12870724009802051</v>
      </c>
      <c r="C11" s="40">
        <f>'2. WCI Decomposition'!C6</f>
        <v>0.71599999999999997</v>
      </c>
      <c r="D11" s="40">
        <f>'2. WCI Decomposition'!D6</f>
        <v>6.5</v>
      </c>
      <c r="E11" s="40">
        <f>'2. WCI Decomposition'!E6</f>
        <v>0.59900349541618747</v>
      </c>
      <c r="F11" s="40">
        <f t="shared" si="3"/>
        <v>0.44925262156214063</v>
      </c>
      <c r="G11" s="40">
        <f t="shared" si="4"/>
        <v>0.14975087385404684</v>
      </c>
      <c r="H11" s="49">
        <f t="shared" si="5"/>
        <v>0.24999999999999994</v>
      </c>
      <c r="I11" s="40">
        <f t="shared" si="6"/>
        <v>0.20914926515928334</v>
      </c>
      <c r="J11" s="40">
        <f t="shared" si="7"/>
        <v>0.38985423025690413</v>
      </c>
      <c r="K11" s="49">
        <f t="shared" si="8"/>
        <v>0.65083798882681565</v>
      </c>
      <c r="L11" s="40">
        <f t="shared" si="9"/>
        <v>0.18430876782036537</v>
      </c>
      <c r="M11" s="40">
        <f t="shared" si="10"/>
        <v>0.4146947275958221</v>
      </c>
      <c r="N11" s="49">
        <f t="shared" si="11"/>
        <v>0.69230769230769229</v>
      </c>
      <c r="O11" s="50" t="str">
        <f t="shared" si="12"/>
        <v>Management</v>
      </c>
      <c r="Q11" t="str">
        <f>'2. WCI Decomposition'!A10</f>
        <v>Wisconsin Site</v>
      </c>
      <c r="R11" s="67">
        <f t="shared" si="0"/>
        <v>0.24999999999999994</v>
      </c>
      <c r="S11" s="67">
        <f t="shared" si="1"/>
        <v>0.67532467532467533</v>
      </c>
      <c r="T11" s="67">
        <f t="shared" si="2"/>
        <v>0.93333333333333335</v>
      </c>
    </row>
    <row r="12" spans="1:20" ht="24" customHeight="1" x14ac:dyDescent="0.25">
      <c r="A12" s="17" t="str">
        <f>'2. WCI Decomposition'!A7</f>
        <v>Mayes County</v>
      </c>
      <c r="B12" s="28">
        <f>'2. WCI Decomposition'!B7</f>
        <v>0.3034381795455186</v>
      </c>
      <c r="C12" s="28">
        <f>'2. WCI Decomposition'!C7</f>
        <v>0.752</v>
      </c>
      <c r="D12" s="28">
        <f>'2. WCI Decomposition'!D7</f>
        <v>2.5</v>
      </c>
      <c r="E12" s="28">
        <f>'2. WCI Decomposition'!E7</f>
        <v>0.57046377754557498</v>
      </c>
      <c r="F12" s="28">
        <f t="shared" si="3"/>
        <v>0.42784783315918123</v>
      </c>
      <c r="G12" s="28">
        <f t="shared" si="4"/>
        <v>0.14261594438639374</v>
      </c>
      <c r="H12" s="47">
        <f t="shared" si="5"/>
        <v>0.25</v>
      </c>
      <c r="I12" s="28">
        <f t="shared" si="6"/>
        <v>0.18964886221594912</v>
      </c>
      <c r="J12" s="28">
        <f t="shared" si="7"/>
        <v>0.38081491532962586</v>
      </c>
      <c r="K12" s="47">
        <f t="shared" si="8"/>
        <v>0.66755319148936176</v>
      </c>
      <c r="L12" s="28">
        <f t="shared" si="9"/>
        <v>0.45637102203645996</v>
      </c>
      <c r="M12" s="28">
        <f t="shared" si="10"/>
        <v>0.11409275550911502</v>
      </c>
      <c r="N12" s="47">
        <f t="shared" si="11"/>
        <v>0.20000000000000004</v>
      </c>
      <c r="O12" s="48" t="str">
        <f t="shared" si="12"/>
        <v>Technology</v>
      </c>
      <c r="Q12" t="str">
        <f>'2. WCI Decomposition'!A11</f>
        <v>Botetourt County</v>
      </c>
      <c r="R12" s="67">
        <f t="shared" si="0"/>
        <v>0.25</v>
      </c>
      <c r="S12" s="67">
        <f t="shared" si="1"/>
        <v>0.67532467532467544</v>
      </c>
      <c r="T12" s="67">
        <f t="shared" si="2"/>
        <v>0.20000000000000007</v>
      </c>
    </row>
    <row r="13" spans="1:20" ht="24" customHeight="1" x14ac:dyDescent="0.25">
      <c r="A13" s="36" t="str">
        <f>'2. WCI Decomposition'!A8</f>
        <v>The Dalles</v>
      </c>
      <c r="B13" s="40">
        <f>'2. WCI Decomposition'!B8</f>
        <v>0.28054607024450207</v>
      </c>
      <c r="C13" s="40">
        <f>'2. WCI Decomposition'!C8</f>
        <v>0.78400000000000003</v>
      </c>
      <c r="D13" s="40">
        <f>'2. WCI Decomposition'!D8</f>
        <v>2.21</v>
      </c>
      <c r="E13" s="40">
        <f>'2. WCI Decomposition'!E8</f>
        <v>0.48608534314843405</v>
      </c>
      <c r="F13" s="40">
        <f t="shared" si="3"/>
        <v>0.36456400736132555</v>
      </c>
      <c r="G13" s="40">
        <f t="shared" si="4"/>
        <v>0.1215213357871085</v>
      </c>
      <c r="H13" s="49">
        <f t="shared" si="5"/>
        <v>0.24999999999999997</v>
      </c>
      <c r="I13" s="40">
        <f t="shared" si="6"/>
        <v>0.15500170381008738</v>
      </c>
      <c r="J13" s="40">
        <f t="shared" si="7"/>
        <v>0.33108363933834667</v>
      </c>
      <c r="K13" s="49">
        <f t="shared" si="8"/>
        <v>0.68112244897959184</v>
      </c>
      <c r="L13" s="40">
        <f t="shared" si="9"/>
        <v>0.43989623814337925</v>
      </c>
      <c r="M13" s="40">
        <f t="shared" si="10"/>
        <v>4.6189105005054798E-2</v>
      </c>
      <c r="N13" s="49">
        <f t="shared" si="11"/>
        <v>9.5022624434389094E-2</v>
      </c>
      <c r="O13" s="50" t="str">
        <f t="shared" si="12"/>
        <v>Technology</v>
      </c>
      <c r="Q13" t="str">
        <f>'2. WCI Decomposition'!A12</f>
        <v>Memphis</v>
      </c>
      <c r="R13" s="67">
        <f t="shared" si="0"/>
        <v>0.25</v>
      </c>
      <c r="S13" s="67">
        <f t="shared" si="1"/>
        <v>0.67532467532467522</v>
      </c>
      <c r="T13" s="67">
        <f t="shared" si="2"/>
        <v>0.55555555555555558</v>
      </c>
    </row>
    <row r="14" spans="1:20" ht="24" customHeight="1" x14ac:dyDescent="0.25">
      <c r="A14" s="17" t="str">
        <f>'2. WCI Decomposition'!A9</f>
        <v>Douglas County</v>
      </c>
      <c r="B14" s="28">
        <f>'2. WCI Decomposition'!B9</f>
        <v>0.15194872609350515</v>
      </c>
      <c r="C14" s="28">
        <f>'2. WCI Decomposition'!C9</f>
        <v>0.82599999999999996</v>
      </c>
      <c r="D14" s="28">
        <f>'2. WCI Decomposition'!D9</f>
        <v>2.5</v>
      </c>
      <c r="E14" s="28">
        <f>'2. WCI Decomposition'!E9</f>
        <v>0.31377411938308813</v>
      </c>
      <c r="F14" s="28">
        <f t="shared" si="3"/>
        <v>0.23533058953731606</v>
      </c>
      <c r="G14" s="28">
        <f t="shared" si="4"/>
        <v>7.8443529845772075E-2</v>
      </c>
      <c r="H14" s="47">
        <f t="shared" si="5"/>
        <v>0.25000000000000011</v>
      </c>
      <c r="I14" s="28">
        <f t="shared" si="6"/>
        <v>9.4967953808440725E-2</v>
      </c>
      <c r="J14" s="28">
        <f t="shared" si="7"/>
        <v>0.21880616557464741</v>
      </c>
      <c r="K14" s="47">
        <f t="shared" si="8"/>
        <v>0.69733656174334135</v>
      </c>
      <c r="L14" s="28">
        <f t="shared" si="9"/>
        <v>0.25101929550647051</v>
      </c>
      <c r="M14" s="28">
        <f t="shared" si="10"/>
        <v>6.2754823876617627E-2</v>
      </c>
      <c r="N14" s="47">
        <f t="shared" si="11"/>
        <v>0.2</v>
      </c>
      <c r="O14" s="48" t="str">
        <f t="shared" si="12"/>
        <v>Technology</v>
      </c>
      <c r="Q14" t="str">
        <f>'2. WCI Decomposition'!A13</f>
        <v>Midlothian</v>
      </c>
      <c r="R14" s="67">
        <f t="shared" si="0"/>
        <v>0.25000000000000017</v>
      </c>
      <c r="S14" s="67">
        <f t="shared" si="1"/>
        <v>0.69696969696969702</v>
      </c>
      <c r="T14" s="67">
        <f t="shared" si="2"/>
        <v>0.20000000000000004</v>
      </c>
    </row>
    <row r="15" spans="1:20" ht="24" customHeight="1" x14ac:dyDescent="0.25">
      <c r="A15" s="36" t="str">
        <f>'2. WCI Decomposition'!A10</f>
        <v>Wisconsin Site</v>
      </c>
      <c r="B15" s="40">
        <f>'2. WCI Decomposition'!B10</f>
        <v>1.15E-2</v>
      </c>
      <c r="C15" s="40">
        <f>'2. WCI Decomposition'!C10</f>
        <v>0.77</v>
      </c>
      <c r="D15" s="40">
        <f>'2. WCI Decomposition'!D10</f>
        <v>30</v>
      </c>
      <c r="E15" s="40">
        <f>'2. WCI Decomposition'!E10</f>
        <v>0.26565</v>
      </c>
      <c r="F15" s="40">
        <f t="shared" si="3"/>
        <v>0.19923750000000001</v>
      </c>
      <c r="G15" s="40">
        <f t="shared" si="4"/>
        <v>6.6412499999999985E-2</v>
      </c>
      <c r="H15" s="49">
        <f t="shared" si="5"/>
        <v>0.24999999999999994</v>
      </c>
      <c r="I15" s="40">
        <f t="shared" si="6"/>
        <v>8.6249999999999993E-2</v>
      </c>
      <c r="J15" s="40">
        <f t="shared" si="7"/>
        <v>0.1794</v>
      </c>
      <c r="K15" s="49">
        <f t="shared" si="8"/>
        <v>0.67532467532467533</v>
      </c>
      <c r="L15" s="40">
        <f t="shared" si="9"/>
        <v>1.771E-2</v>
      </c>
      <c r="M15" s="40">
        <f t="shared" si="10"/>
        <v>0.24793999999999999</v>
      </c>
      <c r="N15" s="49">
        <f t="shared" si="11"/>
        <v>0.93333333333333335</v>
      </c>
      <c r="O15" s="50" t="str">
        <f t="shared" si="12"/>
        <v>Management</v>
      </c>
      <c r="Q15" t="str">
        <f>'2. WCI Decomposition'!A14</f>
        <v>Henderson</v>
      </c>
      <c r="R15" s="67">
        <f t="shared" si="0"/>
        <v>0.25000000000000006</v>
      </c>
      <c r="S15" s="67">
        <f t="shared" si="1"/>
        <v>0.56597222222222221</v>
      </c>
      <c r="T15" s="67">
        <f t="shared" si="2"/>
        <v>0.19999999999999998</v>
      </c>
    </row>
    <row r="16" spans="1:20" ht="24" customHeight="1" x14ac:dyDescent="0.25">
      <c r="A16" s="17" t="str">
        <f>'2. WCI Decomposition'!A11</f>
        <v>Botetourt County</v>
      </c>
      <c r="B16" s="28">
        <f>'2. WCI Decomposition'!B11</f>
        <v>7.1428571428571425E-2</v>
      </c>
      <c r="C16" s="28">
        <f>'2. WCI Decomposition'!C11</f>
        <v>0.77</v>
      </c>
      <c r="D16" s="28">
        <f>'2. WCI Decomposition'!D11</f>
        <v>2.5</v>
      </c>
      <c r="E16" s="28">
        <f>'2. WCI Decomposition'!E11</f>
        <v>0.13750000000000001</v>
      </c>
      <c r="F16" s="28">
        <f t="shared" si="3"/>
        <v>0.10312500000000001</v>
      </c>
      <c r="G16" s="28">
        <f t="shared" si="4"/>
        <v>3.4375000000000003E-2</v>
      </c>
      <c r="H16" s="47">
        <f t="shared" si="5"/>
        <v>0.25</v>
      </c>
      <c r="I16" s="28">
        <f t="shared" si="6"/>
        <v>4.4642857142857137E-2</v>
      </c>
      <c r="J16" s="28">
        <f t="shared" si="7"/>
        <v>9.2857142857142874E-2</v>
      </c>
      <c r="K16" s="47">
        <f t="shared" si="8"/>
        <v>0.67532467532467544</v>
      </c>
      <c r="L16" s="28">
        <f t="shared" si="9"/>
        <v>0.11</v>
      </c>
      <c r="M16" s="28">
        <f t="shared" si="10"/>
        <v>2.7500000000000011E-2</v>
      </c>
      <c r="N16" s="47">
        <f t="shared" si="11"/>
        <v>0.20000000000000007</v>
      </c>
      <c r="O16" s="48" t="str">
        <f t="shared" si="12"/>
        <v>Technology</v>
      </c>
    </row>
    <row r="17" spans="1:15" ht="24" customHeight="1" x14ac:dyDescent="0.25">
      <c r="A17" s="36" t="str">
        <f>'2. WCI Decomposition'!A12</f>
        <v>Memphis</v>
      </c>
      <c r="B17" s="40">
        <f>'2. WCI Decomposition'!B12</f>
        <v>3.875968992248062E-3</v>
      </c>
      <c r="C17" s="40">
        <f>'2. WCI Decomposition'!C12</f>
        <v>0.77</v>
      </c>
      <c r="D17" s="40">
        <f>'2. WCI Decomposition'!D12</f>
        <v>4.5</v>
      </c>
      <c r="E17" s="40">
        <f>'2. WCI Decomposition'!E12</f>
        <v>1.3430232558139535E-2</v>
      </c>
      <c r="F17" s="40">
        <f t="shared" si="3"/>
        <v>1.0072674418604651E-2</v>
      </c>
      <c r="G17" s="40">
        <f t="shared" si="4"/>
        <v>3.3575581395348837E-3</v>
      </c>
      <c r="H17" s="49">
        <f t="shared" si="5"/>
        <v>0.25</v>
      </c>
      <c r="I17" s="40">
        <f t="shared" si="6"/>
        <v>4.3604651162790697E-3</v>
      </c>
      <c r="J17" s="40">
        <f t="shared" si="7"/>
        <v>9.0697674418604643E-3</v>
      </c>
      <c r="K17" s="49">
        <f t="shared" si="8"/>
        <v>0.67532467532467522</v>
      </c>
      <c r="L17" s="40">
        <f t="shared" si="9"/>
        <v>5.9689922480620156E-3</v>
      </c>
      <c r="M17" s="40">
        <f t="shared" si="10"/>
        <v>7.4612403100775193E-3</v>
      </c>
      <c r="N17" s="49">
        <f t="shared" si="11"/>
        <v>0.55555555555555558</v>
      </c>
      <c r="O17" s="50" t="str">
        <f t="shared" si="12"/>
        <v>Technology</v>
      </c>
    </row>
    <row r="18" spans="1:15" ht="24" customHeight="1" x14ac:dyDescent="0.25">
      <c r="A18" s="17" t="str">
        <f>'2. WCI Decomposition'!A13</f>
        <v>Midlothian</v>
      </c>
      <c r="B18" s="28">
        <f>'2. WCI Decomposition'!B13</f>
        <v>1.6807851787922545E-2</v>
      </c>
      <c r="C18" s="28">
        <f>'2. WCI Decomposition'!C13</f>
        <v>0.82499999999999996</v>
      </c>
      <c r="D18" s="28">
        <f>'2. WCI Decomposition'!D13</f>
        <v>2.5</v>
      </c>
      <c r="E18" s="28">
        <f>'2. WCI Decomposition'!E13</f>
        <v>3.466619431259025E-2</v>
      </c>
      <c r="F18" s="28">
        <f t="shared" si="3"/>
        <v>2.5999645734442682E-2</v>
      </c>
      <c r="G18" s="28">
        <f t="shared" si="4"/>
        <v>8.6665485781475676E-3</v>
      </c>
      <c r="H18" s="47">
        <f t="shared" si="5"/>
        <v>0.25000000000000017</v>
      </c>
      <c r="I18" s="28">
        <f t="shared" si="6"/>
        <v>1.0504907367451591E-2</v>
      </c>
      <c r="J18" s="28">
        <f t="shared" si="7"/>
        <v>2.4161286945138659E-2</v>
      </c>
      <c r="K18" s="47">
        <f t="shared" si="8"/>
        <v>0.69696969696969702</v>
      </c>
      <c r="L18" s="28">
        <f t="shared" si="9"/>
        <v>2.7732955450072198E-2</v>
      </c>
      <c r="M18" s="28">
        <f t="shared" si="10"/>
        <v>6.9332388625180513E-3</v>
      </c>
      <c r="N18" s="47">
        <f t="shared" si="11"/>
        <v>0.20000000000000004</v>
      </c>
      <c r="O18" s="48" t="str">
        <f t="shared" si="12"/>
        <v>Technology</v>
      </c>
    </row>
    <row r="19" spans="1:15" ht="24" customHeight="1" x14ac:dyDescent="0.25">
      <c r="A19" s="36" t="str">
        <f>'2. WCI Decomposition'!A14</f>
        <v>Henderson</v>
      </c>
      <c r="B19" s="40">
        <f>'2. WCI Decomposition'!B14</f>
        <v>1.0951020622233828E-3</v>
      </c>
      <c r="C19" s="40">
        <f>'2. WCI Decomposition'!C14</f>
        <v>0.57599999999999996</v>
      </c>
      <c r="D19" s="40">
        <f>'2. WCI Decomposition'!D14</f>
        <v>2.5</v>
      </c>
      <c r="E19" s="40">
        <f>'2. WCI Decomposition'!E14</f>
        <v>1.5769469696016712E-3</v>
      </c>
      <c r="F19" s="40">
        <f t="shared" si="3"/>
        <v>1.1827102272012533E-3</v>
      </c>
      <c r="G19" s="40">
        <f t="shared" si="4"/>
        <v>3.942367424004179E-4</v>
      </c>
      <c r="H19" s="49">
        <f t="shared" si="5"/>
        <v>0.25000000000000006</v>
      </c>
      <c r="I19" s="40">
        <f t="shared" si="6"/>
        <v>6.8443878888961433E-4</v>
      </c>
      <c r="J19" s="40">
        <f t="shared" si="7"/>
        <v>8.9250818071205684E-4</v>
      </c>
      <c r="K19" s="49">
        <f t="shared" si="8"/>
        <v>0.56597222222222221</v>
      </c>
      <c r="L19" s="40">
        <f t="shared" si="9"/>
        <v>1.261557575681337E-3</v>
      </c>
      <c r="M19" s="40">
        <f t="shared" si="10"/>
        <v>3.1538939392033419E-4</v>
      </c>
      <c r="N19" s="49">
        <f t="shared" si="11"/>
        <v>0.19999999999999998</v>
      </c>
      <c r="O19" s="50" t="str">
        <f t="shared" si="12"/>
        <v>Technology</v>
      </c>
    </row>
    <row r="21" spans="1:15" ht="18" customHeight="1" x14ac:dyDescent="0.25">
      <c r="A21" s="10" t="s">
        <v>295</v>
      </c>
      <c r="B21" s="10"/>
      <c r="C21" s="10"/>
      <c r="D21" s="10"/>
      <c r="E21" s="10"/>
      <c r="F21" s="10"/>
      <c r="G21" s="10"/>
      <c r="H21" s="10"/>
      <c r="I21" s="10"/>
      <c r="J21" s="10"/>
      <c r="K21" s="10"/>
      <c r="L21" s="10"/>
      <c r="M21" s="10"/>
      <c r="N21" s="10"/>
      <c r="O21" s="10"/>
    </row>
    <row r="22" spans="1:15" ht="25.5" customHeight="1" x14ac:dyDescent="0.25">
      <c r="A22" s="9" t="s">
        <v>296</v>
      </c>
      <c r="B22" s="9"/>
      <c r="C22" s="9"/>
      <c r="D22" s="9"/>
      <c r="E22" s="9"/>
      <c r="F22" s="9"/>
      <c r="G22" s="9"/>
      <c r="H22" s="9"/>
      <c r="I22" s="9"/>
      <c r="J22" s="9"/>
      <c r="K22" s="9"/>
      <c r="L22" s="9"/>
      <c r="M22" s="9"/>
      <c r="N22" s="9"/>
      <c r="O22" s="9"/>
    </row>
    <row r="23" spans="1:15" ht="25.5" customHeight="1" x14ac:dyDescent="0.25">
      <c r="A23" s="9" t="s">
        <v>297</v>
      </c>
      <c r="B23" s="9"/>
      <c r="C23" s="9"/>
      <c r="D23" s="9"/>
      <c r="E23" s="9"/>
      <c r="F23" s="9"/>
      <c r="G23" s="9"/>
      <c r="H23" s="9"/>
      <c r="I23" s="9"/>
      <c r="J23" s="9"/>
      <c r="K23" s="9"/>
      <c r="L23" s="9"/>
      <c r="M23" s="9"/>
      <c r="N23" s="9"/>
      <c r="O23" s="9"/>
    </row>
    <row r="24" spans="1:15" ht="25.5" customHeight="1" x14ac:dyDescent="0.25">
      <c r="A24" s="9" t="s">
        <v>298</v>
      </c>
      <c r="B24" s="9"/>
      <c r="C24" s="9"/>
      <c r="D24" s="9"/>
      <c r="E24" s="9"/>
      <c r="F24" s="9"/>
      <c r="G24" s="9"/>
      <c r="H24" s="9"/>
      <c r="I24" s="9"/>
      <c r="J24" s="9"/>
      <c r="K24" s="9"/>
      <c r="L24" s="9"/>
      <c r="M24" s="9"/>
      <c r="N24" s="9"/>
      <c r="O24" s="9"/>
    </row>
    <row r="25" spans="1:15" ht="25.5" customHeight="1" x14ac:dyDescent="0.25">
      <c r="A25" s="9" t="s">
        <v>299</v>
      </c>
      <c r="B25" s="9"/>
      <c r="C25" s="9"/>
      <c r="D25" s="9"/>
      <c r="E25" s="9"/>
      <c r="F25" s="9"/>
      <c r="G25" s="9"/>
      <c r="H25" s="9"/>
      <c r="I25" s="9"/>
      <c r="J25" s="9"/>
      <c r="K25" s="9"/>
      <c r="L25" s="9"/>
      <c r="M25" s="9"/>
      <c r="N25" s="9"/>
      <c r="O25" s="9"/>
    </row>
    <row r="26" spans="1:15" ht="25.5" customHeight="1" x14ac:dyDescent="0.25">
      <c r="A26" s="9" t="s">
        <v>300</v>
      </c>
      <c r="B26" s="9"/>
      <c r="C26" s="9"/>
      <c r="D26" s="9"/>
      <c r="E26" s="9"/>
      <c r="F26" s="9"/>
      <c r="G26" s="9"/>
      <c r="H26" s="9"/>
      <c r="I26" s="9"/>
      <c r="J26" s="9"/>
      <c r="K26" s="9"/>
      <c r="L26" s="9"/>
      <c r="M26" s="9"/>
      <c r="N26" s="9"/>
      <c r="O26" s="9"/>
    </row>
  </sheetData>
  <mergeCells count="12">
    <mergeCell ref="A25:O25"/>
    <mergeCell ref="A26:O26"/>
    <mergeCell ref="C7:O7"/>
    <mergeCell ref="A21:O21"/>
    <mergeCell ref="A22:O22"/>
    <mergeCell ref="A23:O23"/>
    <mergeCell ref="A24:O24"/>
    <mergeCell ref="A1:O1"/>
    <mergeCell ref="A2:O2"/>
    <mergeCell ref="A4:O4"/>
    <mergeCell ref="C5:O5"/>
    <mergeCell ref="C6:O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0. Overview &amp; Methods</vt:lpstr>
      <vt:lpstr>1. Inputs</vt:lpstr>
      <vt:lpstr>2. WCI Decomposition</vt:lpstr>
      <vt:lpstr>3. Community Equivalence</vt:lpstr>
      <vt:lpstr>4. Growth Projections</vt:lpstr>
      <vt:lpstr>5. Ranked Summary</vt:lpstr>
      <vt:lpstr>6. Chart Data</vt:lpstr>
      <vt:lpstr>7. Policy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Basit Akinade</cp:lastModifiedBy>
  <cp:revision>7</cp:revision>
  <dcterms:created xsi:type="dcterms:W3CDTF">2026-04-11T19:41:16Z</dcterms:created>
  <dcterms:modified xsi:type="dcterms:W3CDTF">2026-04-13T06:18:22Z</dcterms:modified>
  <dc:language>en-US</dc:language>
</cp:coreProperties>
</file>